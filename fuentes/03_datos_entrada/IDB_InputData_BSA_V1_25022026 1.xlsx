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56ad1291f14be28/Documentos/GitHub/BSA Documentation/"/>
    </mc:Choice>
  </mc:AlternateContent>
  <xr:revisionPtr revIDLastSave="3" documentId="13_ncr:1_{70F19D92-7D22-4294-8574-54F4101F9ECA}" xr6:coauthVersionLast="47" xr6:coauthVersionMax="47" xr10:uidLastSave="{A47A1A26-8A0A-4131-B8E5-CEFA872FCB0F}"/>
  <bookViews>
    <workbookView xWindow="-110" yWindow="-110" windowWidth="19420" windowHeight="11500" tabRatio="918" xr2:uid="{94BD7B7A-E50D-4A9C-99D8-7C92E88E885E}"/>
  </bookViews>
  <sheets>
    <sheet name="Capas_Resumen" sheetId="1" r:id="rId1"/>
    <sheet name="Revisión_Capas_INEGI" sheetId="36" state="hidden" r:id="rId2"/>
    <sheet name="Puentes" sheetId="2" r:id="rId3"/>
    <sheet name="Drenaje" sheetId="41" r:id="rId4"/>
    <sheet name="Nombre_Corredores" sheetId="5" r:id="rId5"/>
    <sheet name="Estado_Calzada" sheetId="6" r:id="rId6"/>
    <sheet name="Fallas_Pavimento" sheetId="7" r:id="rId7"/>
    <sheet name="Nivel_Servicio" sheetId="10" r:id="rId8"/>
    <sheet name="TPDA" sheetId="12" r:id="rId9"/>
    <sheet name="Puertos" sheetId="14" r:id="rId10"/>
    <sheet name="Aeropuertos" sheetId="15" r:id="rId11"/>
    <sheet name="Pasos_Fronterizos" sheetId="16" r:id="rId12"/>
    <sheet name="Red_Carretera" sheetId="19" r:id="rId13"/>
    <sheet name="Nucleos_Urbanos" sheetId="22" r:id="rId14"/>
    <sheet name="Nodos_Exportacion" sheetId="24" r:id="rId15"/>
    <sheet name="Cadenas_Logisticas" sheetId="25" r:id="rId16"/>
    <sheet name="Tiempo_rehab" sheetId="37" r:id="rId17"/>
    <sheet name="Funciones_Dano" sheetId="38" r:id="rId18"/>
    <sheet name="GDP_Capita" sheetId="39" r:id="rId19"/>
    <sheet name="Op_Cost" sheetId="40" r:id="rId20"/>
    <sheet name="Hazard" sheetId="42" r:id="rId21"/>
    <sheet name="Zona_Clima_CC" sheetId="43" r:id="rId22"/>
  </sheets>
  <definedNames>
    <definedName name="_xlnm._FilterDatabase" localSheetId="0" hidden="1">Capas_Resumen!$C$1:$E$1</definedName>
    <definedName name="_xlnm._FilterDatabase" localSheetId="1" hidden="1">Revisión_Capas_INEGI!$A$1:$L$29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42" l="1"/>
  <c r="F43" i="42"/>
  <c r="F40" i="42"/>
  <c r="F37" i="42"/>
  <c r="F34" i="42"/>
  <c r="F31" i="42"/>
  <c r="F28" i="42"/>
</calcChain>
</file>

<file path=xl/sharedStrings.xml><?xml version="1.0" encoding="utf-8"?>
<sst xmlns="http://schemas.openxmlformats.org/spreadsheetml/2006/main" count="1515" uniqueCount="559">
  <si>
    <t>Module 1</t>
  </si>
  <si>
    <t>Module 2</t>
  </si>
  <si>
    <t>Module 3</t>
  </si>
  <si>
    <t>Module 4</t>
  </si>
  <si>
    <t>Module 5</t>
  </si>
  <si>
    <t>Module 6</t>
  </si>
  <si>
    <t>Module 7</t>
  </si>
  <si>
    <t>Schema Change</t>
  </si>
  <si>
    <t>Puentes </t>
  </si>
  <si>
    <t>Core Layer</t>
  </si>
  <si>
    <t>Warning - Schema update will require code changes to custom app</t>
  </si>
  <si>
    <t>Add Field to ArcGIS Online Layer - Run Script</t>
  </si>
  <si>
    <t>Reference Layer</t>
  </si>
  <si>
    <t xml:space="preserve">Infraestructura Básica </t>
  </si>
  <si>
    <t>Infraestructura Complementaria</t>
  </si>
  <si>
    <t>Add Field to ArcGIS Online Layer and Views - Run Script</t>
  </si>
  <si>
    <t>Empresas </t>
  </si>
  <si>
    <t>Fallas_pavimentos</t>
  </si>
  <si>
    <t>Señalizacion</t>
  </si>
  <si>
    <t>TPDA</t>
  </si>
  <si>
    <t>Pasos_Fronterizos</t>
  </si>
  <si>
    <t>Rutas_Cabotaje(TMCD)</t>
  </si>
  <si>
    <t>Red_Ferroviaria</t>
  </si>
  <si>
    <t>Red_Carretera</t>
  </si>
  <si>
    <t>Estaciones_Ferroviarias</t>
  </si>
  <si>
    <t>Nucleos_Urbanos</t>
  </si>
  <si>
    <t>Nodos_Produccion</t>
  </si>
  <si>
    <t>Nodos_Exportacion</t>
  </si>
  <si>
    <t>Cadenas_Logisticas</t>
  </si>
  <si>
    <t>TPDa</t>
  </si>
  <si>
    <t>Proyectos_Infraestructura(Ubicacion_singular)</t>
  </si>
  <si>
    <t>Layer_Name</t>
  </si>
  <si>
    <t>Proyectos_de_Infraestructura_(Ubicacion_extendida) </t>
  </si>
  <si>
    <t>Medidas_Logisticas_COVID </t>
  </si>
  <si>
    <t>Dias_Calientes_Superiores_35C</t>
  </si>
  <si>
    <t>Incremento_nivel_mar_m</t>
  </si>
  <si>
    <t>Precipitacion_AEP_2040RCP6</t>
  </si>
  <si>
    <t>Nombre de la capa</t>
  </si>
  <si>
    <t>Puentes</t>
  </si>
  <si>
    <t>Descripción</t>
  </si>
  <si>
    <t>Fuente</t>
  </si>
  <si>
    <t>idtramo</t>
  </si>
  <si>
    <t>Ruta</t>
  </si>
  <si>
    <t>Calzada</t>
  </si>
  <si>
    <t>Es el código identificador del cuerpo de la vía a la que corresponde la información registrada. Y depende del número de carriles y la división de los sentidos de circulación.</t>
  </si>
  <si>
    <t>Estado</t>
  </si>
  <si>
    <t>Año</t>
  </si>
  <si>
    <t>Puente</t>
  </si>
  <si>
    <t>País</t>
  </si>
  <si>
    <t>Clave</t>
  </si>
  <si>
    <t>Nombre</t>
  </si>
  <si>
    <t>Clave Meso</t>
  </si>
  <si>
    <t>Nam_CID</t>
  </si>
  <si>
    <t>Identificador del tramo de levantamiento al que se refiere la información</t>
  </si>
  <si>
    <t>Condificación de la ruta en el nevantamiento. Dónde cada nombre referencia el corredor y el país en el que se encuentra. Ej. CP-PAN (Corredor Pacífico en Panamá)</t>
  </si>
  <si>
    <t>Califica el estado de la infraestructura en Bueno, Malo y Regular de acuerdo a su afectación estructura, supertficie de rodadura, señalización, etc.</t>
  </si>
  <si>
    <t>Año de levantamiento de la información (2018, 2021)</t>
  </si>
  <si>
    <t>Características del puente</t>
  </si>
  <si>
    <t>Nombre asignado a la ruta conforme al país y número asignado al corredor</t>
  </si>
  <si>
    <t>Nombre del puente</t>
  </si>
  <si>
    <t>Nombre del corredor sobre el que se encuentra el puente el clave mesoamericana</t>
  </si>
  <si>
    <t>Descripción de la ubicación del puente</t>
  </si>
  <si>
    <t>Nombre el corredor en clave CID</t>
  </si>
  <si>
    <t>Nombre del atributo</t>
  </si>
  <si>
    <t>Descripción del atributo</t>
  </si>
  <si>
    <t>Tipo de entrada</t>
  </si>
  <si>
    <t>Long</t>
  </si>
  <si>
    <t>String</t>
  </si>
  <si>
    <t>Double</t>
  </si>
  <si>
    <r>
      <rPr>
        <b/>
        <sz val="11"/>
        <color theme="1"/>
        <rFont val="Calibri"/>
        <family val="2"/>
        <scheme val="minor"/>
      </rPr>
      <t xml:space="preserve">A: </t>
    </r>
    <r>
      <rPr>
        <sz val="11"/>
        <color theme="1"/>
        <rFont val="Calibri"/>
        <family val="2"/>
        <scheme val="minor"/>
      </rPr>
      <t xml:space="preserve">Corresponde al sentido de circulación que está acorde al nombre del tramo vial (que regularmente está compuesto por el lugar donde inicia y el lugar donde termina)
</t>
    </r>
    <r>
      <rPr>
        <b/>
        <sz val="11"/>
        <color theme="1"/>
        <rFont val="Calibri"/>
        <family val="2"/>
        <scheme val="minor"/>
      </rPr>
      <t xml:space="preserve">B: </t>
    </r>
    <r>
      <rPr>
        <sz val="11"/>
        <color theme="1"/>
        <rFont val="Calibri"/>
        <family val="2"/>
        <scheme val="minor"/>
      </rPr>
      <t>Corresponde al sentido de circulación inverso al nombre del tramo</t>
    </r>
  </si>
  <si>
    <r>
      <rPr>
        <b/>
        <sz val="11"/>
        <color theme="1"/>
        <rFont val="Calibri"/>
        <family val="2"/>
        <scheme val="minor"/>
      </rPr>
      <t xml:space="preserve">Bueno: </t>
    </r>
    <r>
      <rPr>
        <sz val="11"/>
        <color theme="1"/>
        <rFont val="Calibri"/>
        <family val="2"/>
        <scheme val="minor"/>
      </rPr>
      <t>Tanto la superficie de rodadura, señalización e infraestructura del puente están en una funcionalidad óptima</t>
    </r>
    <r>
      <rPr>
        <b/>
        <sz val="11"/>
        <color theme="1"/>
        <rFont val="Calibri"/>
        <family val="2"/>
        <scheme val="minor"/>
      </rPr>
      <t xml:space="preserve">
Malo: </t>
    </r>
    <r>
      <rPr>
        <sz val="11"/>
        <color theme="1"/>
        <rFont val="Calibri"/>
        <family val="2"/>
        <scheme val="minor"/>
      </rPr>
      <t>Exite deterioro grave en la rodadura, infraestrucrura o señalización del puente</t>
    </r>
    <r>
      <rPr>
        <b/>
        <sz val="11"/>
        <color theme="1"/>
        <rFont val="Calibri"/>
        <family val="2"/>
        <scheme val="minor"/>
      </rPr>
      <t xml:space="preserve">
Regular: </t>
    </r>
    <r>
      <rPr>
        <sz val="11"/>
        <color theme="1"/>
        <rFont val="Calibri"/>
        <family val="2"/>
        <scheme val="minor"/>
      </rPr>
      <t>Exite deterioro moderado en la rodadura, infraestrucrura o señalización del puente</t>
    </r>
  </si>
  <si>
    <t>N/A</t>
  </si>
  <si>
    <t>País en el que se localiza el puente (Guatemala - Honduras - El Salvador - Nicaragua - Costa Rica - Panamá</t>
  </si>
  <si>
    <t>(1) Corredor Pacífico
(2) Bioceánico de Guatemala
(3) Acajutla - San Salvador- Santo Tomás de Castilla
(4) San Salvador- San Pedro Sula - Puerto Cortíés
(5) San Salvador- Tegucigalpa
(6) San Salvador- Amatillo - San Pedro Sula
(7) Sto Tomás de Castilla (GU) - Puerto Castilla (HO)
(8) Carretera Panamericana
(9) Managua - Tegucigalpa - Puerto Cortés
(10) Bioceánico de Costa Rica</t>
  </si>
  <si>
    <t>CA-01
CA-02
CA-03
CA-04
CA-05
CA-06
CA-07
CA-08
CA-09
CA-12
CA-13</t>
  </si>
  <si>
    <r>
      <rPr>
        <b/>
        <sz val="11"/>
        <color theme="1"/>
        <rFont val="Calibri"/>
        <family val="2"/>
        <scheme val="minor"/>
      </rPr>
      <t>Puente de vigas:</t>
    </r>
    <r>
      <rPr>
        <sz val="11"/>
        <color theme="1"/>
        <rFont val="Calibri"/>
        <family val="2"/>
        <scheme val="minor"/>
      </rPr>
      <t xml:space="preserve"> Un puente viga es aquel cuyos vanos son soportados por vigas.
</t>
    </r>
    <r>
      <rPr>
        <b/>
        <sz val="11"/>
        <color theme="1"/>
        <rFont val="Calibri"/>
        <family val="2"/>
        <scheme val="minor"/>
      </rPr>
      <t xml:space="preserve">Puente de armadura: </t>
    </r>
    <r>
      <rPr>
        <sz val="11"/>
        <color theme="1"/>
        <rFont val="Calibri"/>
        <family val="2"/>
        <scheme val="minor"/>
      </rPr>
      <t xml:space="preserve">Se trata de elementos individuales que se interceptan entre sí, formando principalmente triángulos, "amarrados” por una viga superior y otra inferior. Las diagonales y verticales de una cercha están sometidas a fuerzas axiales de tensión o compresión, mientras que los elementos de amarre superior e inferior funcionan como partes de una única viga simplemente apoyada, donde la parte superior funciona a compresión y la inferior a tensión.
</t>
    </r>
    <r>
      <rPr>
        <b/>
        <sz val="11"/>
        <color theme="1"/>
        <rFont val="Calibri"/>
        <family val="2"/>
        <scheme val="minor"/>
      </rPr>
      <t xml:space="preserve">Sin hombros: </t>
    </r>
    <r>
      <rPr>
        <sz val="11"/>
        <color theme="1"/>
        <rFont val="Calibri"/>
        <family val="2"/>
        <scheme val="minor"/>
      </rPr>
      <t>Sin berma (franja longitudinal, paralela y adyacente a la superficie de rodadura de la carretera, que sirve de confinamiento de la capa de rodadura y se utiliza como zona de seguridad para estacionamiento de vehículos en caso de emergencia.)</t>
    </r>
    <r>
      <rPr>
        <b/>
        <sz val="11"/>
        <color theme="1"/>
        <rFont val="Calibri"/>
        <family val="2"/>
        <scheme val="minor"/>
      </rPr>
      <t xml:space="preserve">
Sin hombros y sin aceras: </t>
    </r>
    <r>
      <rPr>
        <sz val="11"/>
        <color theme="1"/>
        <rFont val="Calibri"/>
        <family val="2"/>
        <scheme val="minor"/>
      </rPr>
      <t>Sin berma o aceras (Parte lateral de la calle u otra vía pública, pavimentada y ligeramente más elevada que la calzada, destinada al paso de peatones.)</t>
    </r>
    <r>
      <rPr>
        <b/>
        <sz val="11"/>
        <color theme="1"/>
        <rFont val="Calibri"/>
        <family val="2"/>
        <scheme val="minor"/>
      </rPr>
      <t xml:space="preserve">
Sección adecuada: </t>
    </r>
    <r>
      <rPr>
        <sz val="11"/>
        <color theme="1"/>
        <rFont val="Calibri"/>
        <family val="2"/>
        <scheme val="minor"/>
      </rPr>
      <t>Puente con una sección adecuada de tránstito (ancho de calzada adecuado, bermas, andenes o aceras)</t>
    </r>
    <r>
      <rPr>
        <b/>
        <sz val="11"/>
        <color theme="1"/>
        <rFont val="Calibri"/>
        <family val="2"/>
        <scheme val="minor"/>
      </rPr>
      <t xml:space="preserve">
Sin hombros, sin aceras y sin barandales: </t>
    </r>
    <r>
      <rPr>
        <sz val="11"/>
        <color theme="1"/>
        <rFont val="Calibri"/>
        <family val="2"/>
        <scheme val="minor"/>
      </rPr>
      <t>Sin bermas, aceras ni barandales (parapeto formado de balaustres, que constituye un elemento de protección)</t>
    </r>
    <r>
      <rPr>
        <b/>
        <sz val="11"/>
        <color theme="1"/>
        <rFont val="Calibri"/>
        <family val="2"/>
        <scheme val="minor"/>
      </rPr>
      <t xml:space="preserve">
Sin aceras: </t>
    </r>
    <r>
      <rPr>
        <sz val="11"/>
        <color theme="1"/>
        <rFont val="Calibri"/>
        <family val="2"/>
        <scheme val="minor"/>
      </rPr>
      <t>Sin aceras (Parte lateral de la calle u otra vía pública, pavimentada y ligeramente más elevada que la calzada, destinada al paso de peatones.)</t>
    </r>
    <r>
      <rPr>
        <b/>
        <sz val="11"/>
        <color theme="1"/>
        <rFont val="Calibri"/>
        <family val="2"/>
        <scheme val="minor"/>
      </rPr>
      <t xml:space="preserve">
Sin hombros y sin barandales: </t>
    </r>
    <r>
      <rPr>
        <sz val="11"/>
        <color theme="1"/>
        <rFont val="Calibri"/>
        <family val="2"/>
        <scheme val="minor"/>
      </rPr>
      <t>Sin bermas ni barandales (ver descripciones anteriores)</t>
    </r>
    <r>
      <rPr>
        <b/>
        <sz val="11"/>
        <color theme="1"/>
        <rFont val="Calibri"/>
        <family val="2"/>
        <scheme val="minor"/>
      </rPr>
      <t xml:space="preserve">
Sin barandales: </t>
    </r>
    <r>
      <rPr>
        <sz val="11"/>
        <color theme="1"/>
        <rFont val="Calibri"/>
        <family val="2"/>
        <scheme val="minor"/>
      </rPr>
      <t>Sin Parapeto formado de balaustres, que constituye un elemento de protección</t>
    </r>
    <r>
      <rPr>
        <b/>
        <sz val="11"/>
        <color theme="1"/>
        <rFont val="Calibri"/>
        <family val="2"/>
        <scheme val="minor"/>
      </rPr>
      <t xml:space="preserve">
Sin aceras y sin barandales</t>
    </r>
    <r>
      <rPr>
        <sz val="11"/>
        <color theme="1"/>
        <rFont val="Calibri"/>
        <family val="2"/>
        <scheme val="minor"/>
      </rPr>
      <t>: Sin bermas ni barandales (ver descripciones anteriores)</t>
    </r>
  </si>
  <si>
    <t>Paraderos</t>
  </si>
  <si>
    <t>Nombre_Corredores</t>
  </si>
  <si>
    <t>Nombre del de la vía</t>
  </si>
  <si>
    <t>Estado_Calzada</t>
  </si>
  <si>
    <t>Capa que contiene el estado del pavimento a lo largo de los corredores</t>
  </si>
  <si>
    <t>Tipo de pavimento</t>
  </si>
  <si>
    <t>Tipo de revestimiento o superficie de rodadura del pavimento</t>
  </si>
  <si>
    <r>
      <rPr>
        <b/>
        <sz val="11"/>
        <color theme="1"/>
        <rFont val="Calibri"/>
        <family val="2"/>
        <scheme val="minor"/>
      </rPr>
      <t>Concreto Asfáltico:</t>
    </r>
    <r>
      <rPr>
        <sz val="11"/>
        <color theme="1"/>
        <rFont val="Calibri"/>
        <family val="2"/>
        <scheme val="minor"/>
      </rPr>
      <t xml:space="preserve"> producto bituminoso semi – sólido a temperatura ambiente, preparado a partir de hidrocarburos naturales mediante un proceso de destilación, el cual contiene una proporción muy baja de productos volátiles, posee propiedades aglomerantes y es esencialmente soluble en tricloroetileno.
</t>
    </r>
    <r>
      <rPr>
        <b/>
        <sz val="11"/>
        <color theme="1"/>
        <rFont val="Calibri"/>
        <family val="2"/>
        <scheme val="minor"/>
      </rPr>
      <t xml:space="preserve">Condreto Hidráulico: </t>
    </r>
    <r>
      <rPr>
        <sz val="11"/>
        <color theme="1"/>
        <rFont val="Calibri"/>
        <family val="2"/>
        <scheme val="minor"/>
      </rPr>
      <t>Especialmente diseñado para soportar grandes esfuerzos de compresión y flexión, como los que impone un tráiler de carga pesada al circular por una vialidad. Hecho de cemento, agua, arena, grava y otros.</t>
    </r>
  </si>
  <si>
    <t>Califica el estado de la infraestructura en Bueno, Malo y Regular de acuerdo a su afectación estructura, supertficie de rodadura</t>
  </si>
  <si>
    <r>
      <rPr>
        <b/>
        <sz val="11"/>
        <color theme="1"/>
        <rFont val="Calibri"/>
        <family val="2"/>
        <scheme val="minor"/>
      </rPr>
      <t xml:space="preserve">Bueno: </t>
    </r>
    <r>
      <rPr>
        <sz val="11"/>
        <color theme="1"/>
        <rFont val="Calibri"/>
        <family val="2"/>
        <scheme val="minor"/>
      </rPr>
      <t>La superficie de rodadura está en una funcionalidad óptima</t>
    </r>
    <r>
      <rPr>
        <b/>
        <sz val="11"/>
        <color theme="1"/>
        <rFont val="Calibri"/>
        <family val="2"/>
        <scheme val="minor"/>
      </rPr>
      <t xml:space="preserve">
Malo: </t>
    </r>
    <r>
      <rPr>
        <sz val="11"/>
        <color theme="1"/>
        <rFont val="Calibri"/>
        <family val="2"/>
        <scheme val="minor"/>
      </rPr>
      <t>Exite deterioro grave en la rodadura de la vía</t>
    </r>
    <r>
      <rPr>
        <b/>
        <sz val="11"/>
        <color theme="1"/>
        <rFont val="Calibri"/>
        <family val="2"/>
        <scheme val="minor"/>
      </rPr>
      <t xml:space="preserve">
Regular: </t>
    </r>
    <r>
      <rPr>
        <sz val="11"/>
        <color theme="1"/>
        <rFont val="Calibri"/>
        <family val="2"/>
        <scheme val="minor"/>
      </rPr>
      <t>Exite deterioro moderado en la rodadura de la vía</t>
    </r>
  </si>
  <si>
    <t>Capa que contiene las fallas en el pavimento detectados con Inteligencia Artificial a través del algoritmo de Pavimenta2</t>
  </si>
  <si>
    <t>Distancia</t>
  </si>
  <si>
    <t>Distancia del tamo analizado (OBS: Los tramos están alredeodor de los 100m)</t>
  </si>
  <si>
    <t>Nombre del tramo</t>
  </si>
  <si>
    <t>Corredor</t>
  </si>
  <si>
    <t>Nombre del corredor nacional analizado</t>
  </si>
  <si>
    <t>Dirección/Calzada</t>
  </si>
  <si>
    <t>Distancia de falla global</t>
  </si>
  <si>
    <t>Área de falla global</t>
  </si>
  <si>
    <t>Distancia de grietas transversales</t>
  </si>
  <si>
    <t>Área de grietas longitudinales</t>
  </si>
  <si>
    <t>Área de grietas transversales</t>
  </si>
  <si>
    <t>Distancia de grietas longitundinales</t>
  </si>
  <si>
    <t>Distancia de otras fallas</t>
  </si>
  <si>
    <t>Área de otras fallas</t>
  </si>
  <si>
    <t>Distancia falla piel de cocodrilo</t>
  </si>
  <si>
    <t>Área de falla piel de cocodrilo</t>
  </si>
  <si>
    <t>Distancia de baches</t>
  </si>
  <si>
    <t>Área de baches</t>
  </si>
  <si>
    <t>Área de intervalo transversal</t>
  </si>
  <si>
    <t>Distancia de invervalo longitudinal</t>
  </si>
  <si>
    <t>Área de intervalo longitudinal</t>
  </si>
  <si>
    <t>Distancia de falla total en el tramo de análisis de 100m (Contempla la longitud de falla total (no a la suma de longitudes de falla))</t>
  </si>
  <si>
    <t>Área total del pavimento con daños o fallas en m2</t>
  </si>
  <si>
    <t>Distancia con falla de grietas transversales (Reflexión de grietas de capas inferiores, generadas en materiales estabilizados o grietas o juntas existentes.)</t>
  </si>
  <si>
    <t>Área en m2 con falla de grietas transversales (Reflexión de grietas de capas inferiores, generadas en materiales estabilizados o grietas o juntas existentes.)</t>
  </si>
  <si>
    <t>Distancia con falla de grietas longitudinales (Agrietamiento de cierta magnitud, predominantemente paralelo al eje de la calzada)</t>
  </si>
  <si>
    <t>Área en m2 con falla de grietas longitudinales (Agrietamiento de cierta magnitud, predominantemente paralelo al eje de la calzada)</t>
  </si>
  <si>
    <t>Distancia de otras fallas no detalladas en la capa</t>
  </si>
  <si>
    <t>Área en m2 de otras fallas no detalladas en la capa</t>
  </si>
  <si>
    <t>Distancia con baches (Los baches son fallas localizadas en la superficie del pavimento, cuya longitud mínima es de 15 centímetros.)</t>
  </si>
  <si>
    <t>Área en m2 con baches (Los baches son fallas localizadas en la superficie del pavimento, cuya longitud mínima es de 15 centímetros.)</t>
  </si>
  <si>
    <t>Distancia con falla de falla piel de cocodrilo (serie de fisuras interconectadas causadas por acción de la fatiga de la superficie de pavimento asfáltico sometida a repeticiones de carga o tráfico)</t>
  </si>
  <si>
    <t>Área en m2 con falla de falla piel de cocodrilo (serie de fisuras interconectadas causadas por acción de la fatiga de la superficie de pavimento asfáltico sometida a repeticiones de carga o tráfico)</t>
  </si>
  <si>
    <t>Distancia de intvervalo transversal</t>
  </si>
  <si>
    <t>Distancia con fallas de intervalo longitudinal en el pavimento</t>
  </si>
  <si>
    <t>Área en m2 con fallas de intervalo longitudinal en el pavimento</t>
  </si>
  <si>
    <t>Distancia con fallas de intervalo transversal en el pavimento</t>
  </si>
  <si>
    <t>Área en m2 con fallas de intervalo transversal  en el pavimento</t>
  </si>
  <si>
    <t>Nivel_Servicio</t>
  </si>
  <si>
    <t>INICIO</t>
  </si>
  <si>
    <t>tramo</t>
  </si>
  <si>
    <t>Se define el Nivel de Servicio de un sector de una carretera de dos carriles como la calidad del servicio que ofrece esta vía a sus usuarios, que se refleja en grado de satisfacción o contrariedad que experimentan al usar la vía</t>
  </si>
  <si>
    <r>
      <rPr>
        <b/>
        <sz val="11"/>
        <color theme="1"/>
        <rFont val="Calibri"/>
        <family val="2"/>
        <scheme val="minor"/>
      </rPr>
      <t>Nivel de Servicio A</t>
    </r>
    <r>
      <rPr>
        <sz val="11"/>
        <color theme="1"/>
        <rFont val="Calibri"/>
        <family val="2"/>
        <scheme val="minor"/>
      </rPr>
      <t xml:space="preserve">: representa flujo libre en una vía cuyas especificaciones geométricas son adecuadas. Hay libertad para conducir con la velocidad deseada y la facilidad de maniobrar dentro de la corriente vehicular es sumamente alta, al no existir prácticamente interferencia con otros vehículos y contar con condiciones de vía que no ofrecen restricción por estar de acuerdo con la topografía de la zona.
</t>
    </r>
    <r>
      <rPr>
        <b/>
        <sz val="11"/>
        <color theme="1"/>
        <rFont val="Calibri"/>
        <family val="2"/>
        <scheme val="minor"/>
      </rPr>
      <t>Nivel de Servicio B:</t>
    </r>
    <r>
      <rPr>
        <sz val="11"/>
        <color theme="1"/>
        <rFont val="Calibri"/>
        <family val="2"/>
        <scheme val="minor"/>
      </rPr>
      <t xml:space="preserve"> comienzan a aparecer restricciones al flujo libre o las especificaciones geométricas reducen algo la velocidad. La libertad para conducir con la velocidad deseada y la facilidad de maniobrar dentro de la corriente vehicular se ven disminuidas, al ocurrir ligeras interferencias con otros vehículos o existir condiciones de vía que ofrecen pocas restricciones.Para mantener esta velocidad es preciso adelantar con alguna frecuencia otros vehículos. El nivel general de libertad y comodidad que tiene el conductor es bueno.
</t>
    </r>
    <r>
      <rPr>
        <b/>
        <sz val="11"/>
        <color theme="1"/>
        <rFont val="Calibri"/>
        <family val="2"/>
        <scheme val="minor"/>
      </rPr>
      <t>Nivel de Servicio C:</t>
    </r>
    <r>
      <rPr>
        <sz val="11"/>
        <color theme="1"/>
        <rFont val="Calibri"/>
        <family val="2"/>
        <scheme val="minor"/>
      </rPr>
      <t xml:space="preserve"> representa condiciones medias cuando el flujo es estable o empiezan a presentarse restricciones de geometría y pendiente. La libertad para coducir con la velocidad deseada dentro de la corriente vehicular se ve afectada al presentarse interferencias tolerables con otros vehículos, deficiencias de la vía que son en general aceptables. El nivel general de libertad y comodidad que tiene el conductor es adecuado.
</t>
    </r>
    <r>
      <rPr>
        <b/>
        <sz val="11"/>
        <color theme="1"/>
        <rFont val="Calibri"/>
        <family val="2"/>
        <scheme val="minor"/>
      </rPr>
      <t>Nivel de Servicio D</t>
    </r>
    <r>
      <rPr>
        <sz val="11"/>
        <color theme="1"/>
        <rFont val="Calibri"/>
        <family val="2"/>
        <scheme val="minor"/>
      </rPr>
      <t xml:space="preserve">: el flujo todavía es estable y se presentan restricciones de geometría y pendiente. No existe libertad para conducir con la velocidad deseada dentro de la corriente vehicular, al ocurrir interferencias frecuentes con otros vehículos, o existir condiciones de vía más defectuosas. El nivel general de libertad y comodidad que tiene el conductor es deficiente.
</t>
    </r>
    <r>
      <rPr>
        <b/>
        <sz val="11"/>
        <color theme="1"/>
        <rFont val="Calibri"/>
        <family val="2"/>
        <scheme val="minor"/>
      </rPr>
      <t>Nivel de Servicio E:</t>
    </r>
    <r>
      <rPr>
        <sz val="11"/>
        <color theme="1"/>
        <rFont val="Calibri"/>
        <family val="2"/>
        <scheme val="minor"/>
      </rPr>
      <t xml:space="preserve"> representa la circulación a Capacidad cuando las velocidades son bajas, pero el tránsito fluye sin interrupciones. En estas condiciones es prácticamente imposible adelantar, por lo que los niveles de libertad y comodidad son muy bajos. La circulación a Capacidad es muy inestable, ya que pequeñas perturbaciones al tránsito causan congestión. Aunque se han tomado estas condiciones para definir el nivel E, este nivel también se puede alcanzar cuando limitaciones de la vía obligan a ir a velocidades similares a la velocidad a Capacidad, en condiciones de inseguridad.
</t>
    </r>
    <r>
      <rPr>
        <b/>
        <sz val="11"/>
        <color theme="1"/>
        <rFont val="Calibri"/>
        <family val="2"/>
        <scheme val="minor"/>
      </rPr>
      <t>Nivel de Servicio F:</t>
    </r>
    <r>
      <rPr>
        <sz val="11"/>
        <color theme="1"/>
        <rFont val="Calibri"/>
        <family val="2"/>
        <scheme val="minor"/>
      </rPr>
      <t xml:space="preserve"> representa la circulación congestionada, cuando el volumen de demanda es superior a la Capacidad de la vía y se rompe la continuidad del flujo. Cuando eso sucede, las velocidades son inferiores a la velocidad a Capacidad y el flujo es muy irregular. Se suelen formar largas colas y las operaciones dentro de estas se caracterizan por constantes paradas y avances cortos. También condiciones sumamente adversas de la vía pueden hacer que se alcancen velocidades e irregularidades en el movimiento de los vehículos semejantes a las descritas anteriormente.</t>
    </r>
  </si>
  <si>
    <t>Zona_Urbano-Rural</t>
  </si>
  <si>
    <t>Unidad de medida en el tráfico de una carretera es el volumen del tráfico promedio diario anual cuya abreviación es el TPDA. Se determinará el tráfico promedio diario anual (TPDA), a partir de las observaciones puntuales del tráfico y de los factores de variación.</t>
  </si>
  <si>
    <t>Puertos</t>
  </si>
  <si>
    <t>Aeropuertos</t>
  </si>
  <si>
    <t>Rutas_Aereas</t>
  </si>
  <si>
    <t>Capa que contiene el nivel de servicio de los principales corredores entre Guatemala y Panamá</t>
  </si>
  <si>
    <t>Nivel de servicio</t>
  </si>
  <si>
    <t>Capa con EL Tránsito Promedio Diario Anual en los diferentes tramos de los corredores principales entre Gautemala y Panamá</t>
  </si>
  <si>
    <t>Capa que contiene los puertos desde México hasta Panamá</t>
  </si>
  <si>
    <t>ID_País</t>
  </si>
  <si>
    <t>ID_BBDD</t>
  </si>
  <si>
    <t>Código IATA</t>
  </si>
  <si>
    <t>Pistas</t>
  </si>
  <si>
    <t>Lóngitud de las pistas</t>
  </si>
  <si>
    <t>Gestión</t>
  </si>
  <si>
    <t>Operador</t>
  </si>
  <si>
    <t>Jerarquía</t>
  </si>
  <si>
    <t>Nombre del aeropuerto</t>
  </si>
  <si>
    <t>Abreviatura del país en el que se localiza el aeropuerto</t>
  </si>
  <si>
    <r>
      <rPr>
        <b/>
        <sz val="11"/>
        <color theme="1"/>
        <rFont val="Calibri"/>
        <family val="2"/>
        <scheme val="minor"/>
      </rPr>
      <t>BZ:</t>
    </r>
    <r>
      <rPr>
        <sz val="11"/>
        <color theme="1"/>
        <rFont val="Calibri"/>
        <family val="2"/>
        <scheme val="minor"/>
      </rPr>
      <t xml:space="preserve"> Belice
</t>
    </r>
    <r>
      <rPr>
        <b/>
        <sz val="11"/>
        <color theme="1"/>
        <rFont val="Calibri"/>
        <family val="2"/>
        <scheme val="minor"/>
      </rPr>
      <t>CO:</t>
    </r>
    <r>
      <rPr>
        <sz val="11"/>
        <color theme="1"/>
        <rFont val="Calibri"/>
        <family val="2"/>
        <scheme val="minor"/>
      </rPr>
      <t xml:space="preserve"> Colombia
</t>
    </r>
    <r>
      <rPr>
        <b/>
        <sz val="11"/>
        <color theme="1"/>
        <rFont val="Calibri"/>
        <family val="2"/>
        <scheme val="minor"/>
      </rPr>
      <t>CR</t>
    </r>
    <r>
      <rPr>
        <sz val="11"/>
        <color theme="1"/>
        <rFont val="Calibri"/>
        <family val="2"/>
        <scheme val="minor"/>
      </rPr>
      <t xml:space="preserve">:Costa Rica
</t>
    </r>
    <r>
      <rPr>
        <b/>
        <sz val="11"/>
        <color theme="1"/>
        <rFont val="Calibri"/>
        <family val="2"/>
        <scheme val="minor"/>
      </rPr>
      <t>DO:</t>
    </r>
    <r>
      <rPr>
        <sz val="11"/>
        <color theme="1"/>
        <rFont val="Calibri"/>
        <family val="2"/>
        <scheme val="minor"/>
      </rPr>
      <t xml:space="preserve"> República Dominicana
</t>
    </r>
    <r>
      <rPr>
        <b/>
        <sz val="11"/>
        <color theme="1"/>
        <rFont val="Calibri"/>
        <family val="2"/>
        <scheme val="minor"/>
      </rPr>
      <t>GT:</t>
    </r>
    <r>
      <rPr>
        <sz val="11"/>
        <color theme="1"/>
        <rFont val="Calibri"/>
        <family val="2"/>
        <scheme val="minor"/>
      </rPr>
      <t xml:space="preserve"> Guatemala
</t>
    </r>
    <r>
      <rPr>
        <b/>
        <sz val="11"/>
        <color theme="1"/>
        <rFont val="Calibri"/>
        <family val="2"/>
        <scheme val="minor"/>
      </rPr>
      <t>HN:</t>
    </r>
    <r>
      <rPr>
        <sz val="11"/>
        <color theme="1"/>
        <rFont val="Calibri"/>
        <family val="2"/>
        <scheme val="minor"/>
      </rPr>
      <t xml:space="preserve"> Honduras
</t>
    </r>
    <r>
      <rPr>
        <b/>
        <sz val="11"/>
        <color theme="1"/>
        <rFont val="Calibri"/>
        <family val="2"/>
        <scheme val="minor"/>
      </rPr>
      <t>MX:</t>
    </r>
    <r>
      <rPr>
        <sz val="11"/>
        <color theme="1"/>
        <rFont val="Calibri"/>
        <family val="2"/>
        <scheme val="minor"/>
      </rPr>
      <t xml:space="preserve"> México
</t>
    </r>
    <r>
      <rPr>
        <b/>
        <sz val="11"/>
        <color theme="1"/>
        <rFont val="Calibri"/>
        <family val="2"/>
        <scheme val="minor"/>
      </rPr>
      <t>NI:</t>
    </r>
    <r>
      <rPr>
        <sz val="11"/>
        <color theme="1"/>
        <rFont val="Calibri"/>
        <family val="2"/>
        <scheme val="minor"/>
      </rPr>
      <t xml:space="preserve"> Nicaragua
</t>
    </r>
    <r>
      <rPr>
        <b/>
        <sz val="11"/>
        <color theme="1"/>
        <rFont val="Calibri"/>
        <family val="2"/>
        <scheme val="minor"/>
      </rPr>
      <t>PA:</t>
    </r>
    <r>
      <rPr>
        <sz val="11"/>
        <color theme="1"/>
        <rFont val="Calibri"/>
        <family val="2"/>
        <scheme val="minor"/>
      </rPr>
      <t xml:space="preserve">Panamá
</t>
    </r>
    <r>
      <rPr>
        <b/>
        <sz val="11"/>
        <color theme="1"/>
        <rFont val="Calibri"/>
        <family val="2"/>
        <scheme val="minor"/>
      </rPr>
      <t>SV:</t>
    </r>
    <r>
      <rPr>
        <sz val="11"/>
        <color theme="1"/>
        <rFont val="Calibri"/>
        <family val="2"/>
        <scheme val="minor"/>
      </rPr>
      <t xml:space="preserve"> El Salvador</t>
    </r>
  </si>
  <si>
    <t>El código de referencia aeroportuario indica los tipos de aeronaves que pueden operar en un determinado aeropuerto</t>
  </si>
  <si>
    <t>Catrgoría aeroportuaria</t>
  </si>
  <si>
    <r>
      <rPr>
        <b/>
        <sz val="11"/>
        <color theme="1"/>
        <rFont val="Calibri"/>
        <family val="2"/>
        <scheme val="minor"/>
      </rPr>
      <t>1A:</t>
    </r>
    <r>
      <rPr>
        <sz val="11"/>
        <color theme="1"/>
        <rFont val="Calibri"/>
        <family val="2"/>
        <scheme val="minor"/>
      </rPr>
      <t xml:space="preserve"> Hasta 800 m de longitud de campo y hasta 15m de envergadura de naves 
</t>
    </r>
    <r>
      <rPr>
        <b/>
        <sz val="11"/>
        <color theme="1"/>
        <rFont val="Calibri"/>
        <family val="2"/>
        <scheme val="minor"/>
      </rPr>
      <t>2A:</t>
    </r>
    <r>
      <rPr>
        <sz val="11"/>
        <color theme="1"/>
        <rFont val="Calibri"/>
        <family val="2"/>
        <scheme val="minor"/>
      </rPr>
      <t xml:space="preserve"> Entre 800 y 1200m de longitud de camp y  hasta 15m de envergadura de naves 
</t>
    </r>
    <r>
      <rPr>
        <b/>
        <sz val="11"/>
        <color theme="1"/>
        <rFont val="Calibri"/>
        <family val="2"/>
        <scheme val="minor"/>
      </rPr>
      <t>2B:</t>
    </r>
    <r>
      <rPr>
        <sz val="11"/>
        <color theme="1"/>
        <rFont val="Calibri"/>
        <family val="2"/>
        <scheme val="minor"/>
      </rPr>
      <t xml:space="preserve">Entre 800 y 1200m de longitud de camp y entre 15 - 24m de envergadura de naves
</t>
    </r>
    <r>
      <rPr>
        <b/>
        <sz val="11"/>
        <color theme="1"/>
        <rFont val="Calibri"/>
        <family val="2"/>
        <scheme val="minor"/>
      </rPr>
      <t>2C:</t>
    </r>
    <r>
      <rPr>
        <sz val="11"/>
        <color theme="1"/>
        <rFont val="Calibri"/>
        <family val="2"/>
        <scheme val="minor"/>
      </rPr>
      <t xml:space="preserve"> Entre 800 y 1200m de longitud de camp y entre 24 - 36m de envergadura de naves
</t>
    </r>
    <r>
      <rPr>
        <b/>
        <sz val="11"/>
        <color theme="1"/>
        <rFont val="Calibri"/>
        <family val="2"/>
        <scheme val="minor"/>
      </rPr>
      <t>3B:</t>
    </r>
    <r>
      <rPr>
        <sz val="11"/>
        <color theme="1"/>
        <rFont val="Calibri"/>
        <family val="2"/>
        <scheme val="minor"/>
      </rPr>
      <t xml:space="preserve"> Entre 1200 y 1800m de longitud de camp y entre 15 - 24m de envergadura de naves
</t>
    </r>
    <r>
      <rPr>
        <b/>
        <sz val="11"/>
        <color theme="1"/>
        <rFont val="Calibri"/>
        <family val="2"/>
        <scheme val="minor"/>
      </rPr>
      <t>3C:</t>
    </r>
    <r>
      <rPr>
        <sz val="11"/>
        <color theme="1"/>
        <rFont val="Calibri"/>
        <family val="2"/>
        <scheme val="minor"/>
      </rPr>
      <t xml:space="preserve"> Entre 1200 y 1800m de longitud de camp y entre 24 - 36m de envergadura de naves
</t>
    </r>
    <r>
      <rPr>
        <b/>
        <sz val="11"/>
        <color theme="1"/>
        <rFont val="Calibri"/>
        <family val="2"/>
        <scheme val="minor"/>
      </rPr>
      <t>4B:</t>
    </r>
    <r>
      <rPr>
        <sz val="11"/>
        <color theme="1"/>
        <rFont val="Calibri"/>
        <family val="2"/>
        <scheme val="minor"/>
      </rPr>
      <t xml:space="preserve"> Más de 1800m de longitud de campo y entre 15 - 24m de envergadura de naves
</t>
    </r>
    <r>
      <rPr>
        <b/>
        <sz val="11"/>
        <color theme="1"/>
        <rFont val="Calibri"/>
        <family val="2"/>
        <scheme val="minor"/>
      </rPr>
      <t>4C:</t>
    </r>
    <r>
      <rPr>
        <sz val="11"/>
        <color theme="1"/>
        <rFont val="Calibri"/>
        <family val="2"/>
        <scheme val="minor"/>
      </rPr>
      <t xml:space="preserve"> Más de 1800m de longitud de campo y entre  24 - 36m de envergadura de naves
</t>
    </r>
    <r>
      <rPr>
        <b/>
        <sz val="11"/>
        <color theme="1"/>
        <rFont val="Calibri"/>
        <family val="2"/>
        <scheme val="minor"/>
      </rPr>
      <t>4D:</t>
    </r>
    <r>
      <rPr>
        <sz val="11"/>
        <color theme="1"/>
        <rFont val="Calibri"/>
        <family val="2"/>
        <scheme val="minor"/>
      </rPr>
      <t xml:space="preserve"> Más de 1800m de longitud de campo y entre 36 - 52m de envergadura de naves
</t>
    </r>
    <r>
      <rPr>
        <b/>
        <sz val="11"/>
        <color theme="1"/>
        <rFont val="Calibri"/>
        <family val="2"/>
        <scheme val="minor"/>
      </rPr>
      <t>4E:</t>
    </r>
    <r>
      <rPr>
        <sz val="11"/>
        <color theme="1"/>
        <rFont val="Calibri"/>
        <family val="2"/>
        <scheme val="minor"/>
      </rPr>
      <t xml:space="preserve">Más de 1800m de longitud de campo y entre 52 - 65m de envergadura de naves
</t>
    </r>
    <r>
      <rPr>
        <b/>
        <sz val="11"/>
        <color theme="1"/>
        <rFont val="Calibri"/>
        <family val="2"/>
        <scheme val="minor"/>
      </rPr>
      <t>4F:</t>
    </r>
    <r>
      <rPr>
        <sz val="11"/>
        <color theme="1"/>
        <rFont val="Calibri"/>
        <family val="2"/>
        <scheme val="minor"/>
      </rPr>
      <t xml:space="preserve"> Más de 1800m de longitud de campo y entre 65 - 80m de envergadura de naves</t>
    </r>
  </si>
  <si>
    <t xml:space="preserve">Código de identificación del aeropuerto </t>
  </si>
  <si>
    <t>Código de tres letras que suele tener relación con la ciudad o región a la que sirve el aeropuerto, o bien el nombre del aeródromo existente antes de la creación del aeropuerto, pero que no tiene por qué contener información geográfica del mismo.</t>
  </si>
  <si>
    <t>1
2
3</t>
  </si>
  <si>
    <t>Lontigtud media de las pistas</t>
  </si>
  <si>
    <t>Detalla si la gestión del aeropuerto es pública o privada</t>
  </si>
  <si>
    <t>Short</t>
  </si>
  <si>
    <r>
      <rPr>
        <b/>
        <sz val="11"/>
        <color theme="1"/>
        <rFont val="Calibri"/>
        <family val="2"/>
        <scheme val="minor"/>
      </rPr>
      <t xml:space="preserve">Pública: </t>
    </r>
    <r>
      <rPr>
        <sz val="11"/>
        <color theme="1"/>
        <rFont val="Calibri"/>
        <family val="2"/>
        <scheme val="minor"/>
      </rPr>
      <t>Operado por una institución pública</t>
    </r>
    <r>
      <rPr>
        <b/>
        <sz val="11"/>
        <color theme="1"/>
        <rFont val="Calibri"/>
        <family val="2"/>
        <scheme val="minor"/>
      </rPr>
      <t xml:space="preserve">
Privada: </t>
    </r>
    <r>
      <rPr>
        <sz val="11"/>
        <color theme="1"/>
        <rFont val="Calibri"/>
        <family val="2"/>
        <scheme val="minor"/>
      </rPr>
      <t>Operado por una empresa privada</t>
    </r>
  </si>
  <si>
    <t>Cantidad de pistas que posee el aeropuerto</t>
  </si>
  <si>
    <t xml:space="preserve">Empresa o institución encargada de la planificación y gestión de las operaciones aeroportuarias: se ocupan de asignar las plazas a las aeronaves, de tratar y difundir la información aeronáutica, de las tasas, etc. </t>
  </si>
  <si>
    <t>Longitud</t>
  </si>
  <si>
    <t>Latitud</t>
  </si>
  <si>
    <t>Distancia en grados, minutos y segundos que hay con respecto al paralelo principal, que es el ecuador (0º). La latitud puede ser norte y sur.</t>
  </si>
  <si>
    <t>Distancia en grados, minutos y segundos que hay con respecto al meridiano principal, que es el meridiano de Greenwich (0º).</t>
  </si>
  <si>
    <t>Nombre del puerto</t>
  </si>
  <si>
    <t>Capa que contiene los aeropuertospuertos desde México hasta Colombia</t>
  </si>
  <si>
    <t>Abreviatura del país en el que se localiza el puerto</t>
  </si>
  <si>
    <t>Detalla si la gestión del puerto es pública o privada</t>
  </si>
  <si>
    <r>
      <rPr>
        <b/>
        <sz val="11"/>
        <color theme="1"/>
        <rFont val="Calibri"/>
        <family val="2"/>
        <scheme val="minor"/>
      </rPr>
      <t xml:space="preserve">Pública: </t>
    </r>
    <r>
      <rPr>
        <sz val="11"/>
        <color theme="1"/>
        <rFont val="Calibri"/>
        <family val="2"/>
        <scheme val="minor"/>
      </rPr>
      <t>Operado por una institución pública</t>
    </r>
    <r>
      <rPr>
        <b/>
        <sz val="11"/>
        <color theme="1"/>
        <rFont val="Calibri"/>
        <family val="2"/>
        <scheme val="minor"/>
      </rPr>
      <t xml:space="preserve">
Privada: </t>
    </r>
    <r>
      <rPr>
        <sz val="11"/>
        <color theme="1"/>
        <rFont val="Calibri"/>
        <family val="2"/>
        <scheme val="minor"/>
      </rPr>
      <t xml:space="preserve">Operado por una empresa privada
</t>
    </r>
    <r>
      <rPr>
        <b/>
        <sz val="11"/>
        <color theme="1"/>
        <rFont val="Calibri"/>
        <family val="2"/>
        <scheme val="minor"/>
      </rPr>
      <t>Varios</t>
    </r>
    <r>
      <rPr>
        <sz val="11"/>
        <color theme="1"/>
        <rFont val="Calibri"/>
        <family val="2"/>
        <scheme val="minor"/>
      </rPr>
      <t>: Gestión pública/privada</t>
    </r>
  </si>
  <si>
    <t>Empresa o institución encargada de la planificación y gestión de las operaciones portuarioas: se ocupan de asignar tasas, horas de entrada en canales, autorización de maniobras, etc.</t>
  </si>
  <si>
    <t>Contenedores</t>
  </si>
  <si>
    <t>RoRo</t>
  </si>
  <si>
    <t>Granel Sólido</t>
  </si>
  <si>
    <t>Carga general</t>
  </si>
  <si>
    <t>Pasajeros</t>
  </si>
  <si>
    <t>Cabotaje</t>
  </si>
  <si>
    <t>Muelles</t>
  </si>
  <si>
    <t>Longitud de atraque</t>
  </si>
  <si>
    <t>Calado</t>
  </si>
  <si>
    <t>Superficie de almacenamiento</t>
  </si>
  <si>
    <t>Granel líquido</t>
  </si>
  <si>
    <t>Recepción de buques de carga general (Se trata de buques de carga básicos; pueden llevar carga, pero no tienen espacio para los típicos contenedores que todos asociamos con el transporte de mercancías. Estos barcos cuentan con sus propias grúas incorporadas para realizar sus operaciones de carga y descarga en los puertos.)</t>
  </si>
  <si>
    <t>Recepción de portacontenedores (Estas embarcaciones sí que están especialmente diseñadas para el transporte marítimo de mercancías en contenedores.)</t>
  </si>
  <si>
    <t>Admite buques graneleros (Son el tipo de buque más apropiado para transportar cargas sólidas de granel. Es decir, en pequeñas unidades sueltas o desmenuzadas, tales como granos, cementos o minerales.)</t>
  </si>
  <si>
    <t>Admite buques de graneles líquidos y gaseros (Los buques que movilizan granel líquido son buques cisterna especiales para transportar líquidos. Se diferencian de los buques de carga por características técnicas tales como la estanqueidad al petróleo, la resistencia estructural, y su sistema de bombeo para la carga y descarga del liquido.)</t>
  </si>
  <si>
    <t>Recibe busques que movilizan carga Ro Ro (disponen de rampas y plataformas capaces de mantener inmovilizado cualquier vehículo con ruedas, desde turismos hasta vehículos industriales o camiones cargados con sus mercancías para viajes de larga distancia. También existen modalidades híbridas de transporte rodado con pasajeros (ferrys) y de transporte rodado con portacontenedores (Ro-Lo).)</t>
  </si>
  <si>
    <r>
      <rPr>
        <b/>
        <sz val="11"/>
        <color theme="1"/>
        <rFont val="Calibri"/>
        <family val="2"/>
        <scheme val="minor"/>
      </rPr>
      <t>1:</t>
    </r>
    <r>
      <rPr>
        <sz val="11"/>
        <color theme="1"/>
        <rFont val="Calibri"/>
        <family val="2"/>
        <scheme val="minor"/>
      </rPr>
      <t xml:space="preserve"> Admite buques con el tipo de carga
</t>
    </r>
    <r>
      <rPr>
        <b/>
        <sz val="11"/>
        <color theme="1"/>
        <rFont val="Calibri"/>
        <family val="2"/>
        <scheme val="minor"/>
      </rPr>
      <t>0:</t>
    </r>
    <r>
      <rPr>
        <sz val="11"/>
        <color theme="1"/>
        <rFont val="Calibri"/>
        <family val="2"/>
        <scheme val="minor"/>
      </rPr>
      <t xml:space="preserve"> No admite buques con el tipo de carga</t>
    </r>
  </si>
  <si>
    <t>Admite cruceros o buques que transportan pasajeros</t>
  </si>
  <si>
    <t>Facilita el transporte de corta distancia o cabotaje</t>
  </si>
  <si>
    <r>
      <rPr>
        <b/>
        <sz val="11"/>
        <color theme="1"/>
        <rFont val="Calibri"/>
        <family val="2"/>
        <scheme val="minor"/>
      </rPr>
      <t>1:</t>
    </r>
    <r>
      <rPr>
        <sz val="11"/>
        <color theme="1"/>
        <rFont val="Calibri"/>
        <family val="2"/>
        <scheme val="minor"/>
      </rPr>
      <t xml:space="preserve"> Admite buques con el tipo viajes
</t>
    </r>
    <r>
      <rPr>
        <b/>
        <sz val="11"/>
        <color theme="1"/>
        <rFont val="Calibri"/>
        <family val="2"/>
        <scheme val="minor"/>
      </rPr>
      <t>0:</t>
    </r>
    <r>
      <rPr>
        <sz val="11"/>
        <color theme="1"/>
        <rFont val="Calibri"/>
        <family val="2"/>
        <scheme val="minor"/>
      </rPr>
      <t xml:space="preserve"> No admite buques con el tipo viajes</t>
    </r>
  </si>
  <si>
    <t>Cantidad de muelles que posee el puerto</t>
  </si>
  <si>
    <t>Longitud  de muelle</t>
  </si>
  <si>
    <t>Profundidad disponible en el puerto que limitará las embarcaciones que allí transiten</t>
  </si>
  <si>
    <t>Superficie disponible para el almacemaniento de mercancías</t>
  </si>
  <si>
    <t>Pasos de forntera</t>
  </si>
  <si>
    <t>Capa que localiza los pasos de fontera mesoamericanos</t>
  </si>
  <si>
    <t>Nombre del paso de frontera</t>
  </si>
  <si>
    <t>Abreviatura del país en el que se localiza el paso de frontera</t>
  </si>
  <si>
    <t>País de ftontera</t>
  </si>
  <si>
    <t>País con fronterizo</t>
  </si>
  <si>
    <r>
      <rPr>
        <b/>
        <sz val="11"/>
        <color theme="1"/>
        <rFont val="Calibri"/>
        <family val="2"/>
        <scheme val="minor"/>
      </rPr>
      <t>BZ:</t>
    </r>
    <r>
      <rPr>
        <sz val="11"/>
        <color theme="1"/>
        <rFont val="Calibri"/>
        <family val="2"/>
        <scheme val="minor"/>
      </rPr>
      <t xml:space="preserve"> Belice
</t>
    </r>
    <r>
      <rPr>
        <b/>
        <sz val="11"/>
        <color theme="1"/>
        <rFont val="Calibri"/>
        <family val="2"/>
        <scheme val="minor"/>
      </rPr>
      <t>CO:</t>
    </r>
    <r>
      <rPr>
        <sz val="11"/>
        <color theme="1"/>
        <rFont val="Calibri"/>
        <family val="2"/>
        <scheme val="minor"/>
      </rPr>
      <t xml:space="preserve"> Colombia
</t>
    </r>
    <r>
      <rPr>
        <b/>
        <sz val="11"/>
        <color theme="1"/>
        <rFont val="Calibri"/>
        <family val="2"/>
        <scheme val="minor"/>
      </rPr>
      <t>CR</t>
    </r>
    <r>
      <rPr>
        <sz val="11"/>
        <color theme="1"/>
        <rFont val="Calibri"/>
        <family val="2"/>
        <scheme val="minor"/>
      </rPr>
      <t xml:space="preserve">:Costa Rica
</t>
    </r>
    <r>
      <rPr>
        <b/>
        <sz val="11"/>
        <color theme="1"/>
        <rFont val="Calibri"/>
        <family val="2"/>
        <scheme val="minor"/>
      </rPr>
      <t>DO:</t>
    </r>
    <r>
      <rPr>
        <sz val="11"/>
        <color theme="1"/>
        <rFont val="Calibri"/>
        <family val="2"/>
        <scheme val="minor"/>
      </rPr>
      <t xml:space="preserve"> República Dominicana
</t>
    </r>
    <r>
      <rPr>
        <b/>
        <sz val="11"/>
        <color theme="1"/>
        <rFont val="Calibri"/>
        <family val="2"/>
        <scheme val="minor"/>
      </rPr>
      <t>GT:</t>
    </r>
    <r>
      <rPr>
        <sz val="11"/>
        <color theme="1"/>
        <rFont val="Calibri"/>
        <family val="2"/>
        <scheme val="minor"/>
      </rPr>
      <t xml:space="preserve"> Guatemala
</t>
    </r>
    <r>
      <rPr>
        <b/>
        <sz val="11"/>
        <color theme="1"/>
        <rFont val="Calibri"/>
        <family val="2"/>
        <scheme val="minor"/>
      </rPr>
      <t>HN:</t>
    </r>
    <r>
      <rPr>
        <sz val="11"/>
        <color theme="1"/>
        <rFont val="Calibri"/>
        <family val="2"/>
        <scheme val="minor"/>
      </rPr>
      <t xml:space="preserve"> Honduras
</t>
    </r>
    <r>
      <rPr>
        <b/>
        <sz val="11"/>
        <color theme="1"/>
        <rFont val="Calibri"/>
        <family val="2"/>
        <scheme val="minor"/>
      </rPr>
      <t>MX:</t>
    </r>
    <r>
      <rPr>
        <sz val="11"/>
        <color theme="1"/>
        <rFont val="Calibri"/>
        <family val="2"/>
        <scheme val="minor"/>
      </rPr>
      <t xml:space="preserve"> México
</t>
    </r>
    <r>
      <rPr>
        <b/>
        <sz val="11"/>
        <color theme="1"/>
        <rFont val="Calibri"/>
        <family val="2"/>
        <scheme val="minor"/>
      </rPr>
      <t>NI:</t>
    </r>
    <r>
      <rPr>
        <sz val="11"/>
        <color theme="1"/>
        <rFont val="Calibri"/>
        <family val="2"/>
        <scheme val="minor"/>
      </rPr>
      <t xml:space="preserve"> Nicaragua
</t>
    </r>
    <r>
      <rPr>
        <b/>
        <sz val="11"/>
        <color theme="1"/>
        <rFont val="Calibri"/>
        <family val="2"/>
        <scheme val="minor"/>
      </rPr>
      <t>PA:</t>
    </r>
    <r>
      <rPr>
        <sz val="11"/>
        <color theme="1"/>
        <rFont val="Calibri"/>
        <family val="2"/>
        <scheme val="minor"/>
      </rPr>
      <t xml:space="preserve">Panamá
</t>
    </r>
    <r>
      <rPr>
        <b/>
        <sz val="11"/>
        <color theme="1"/>
        <rFont val="Calibri"/>
        <family val="2"/>
        <scheme val="minor"/>
      </rPr>
      <t>SV:</t>
    </r>
    <r>
      <rPr>
        <sz val="11"/>
        <color theme="1"/>
        <rFont val="Calibri"/>
        <family val="2"/>
        <scheme val="minor"/>
      </rPr>
      <t xml:space="preserve"> El Salvador
</t>
    </r>
    <r>
      <rPr>
        <b/>
        <sz val="11"/>
        <color theme="1"/>
        <rFont val="Calibri"/>
        <family val="2"/>
        <scheme val="minor"/>
      </rPr>
      <t>US</t>
    </r>
    <r>
      <rPr>
        <sz val="11"/>
        <color theme="1"/>
        <rFont val="Calibri"/>
        <family val="2"/>
        <scheme val="minor"/>
      </rPr>
      <t xml:space="preserve">:Estados Unidos
</t>
    </r>
    <r>
      <rPr>
        <b/>
        <sz val="11"/>
        <color theme="1"/>
        <rFont val="Calibri"/>
        <family val="2"/>
        <scheme val="minor"/>
      </rPr>
      <t>VE:</t>
    </r>
    <r>
      <rPr>
        <sz val="11"/>
        <color theme="1"/>
        <rFont val="Calibri"/>
        <family val="2"/>
        <scheme val="minor"/>
      </rPr>
      <t xml:space="preserve"> Venezuela</t>
    </r>
  </si>
  <si>
    <t>Carreteras</t>
  </si>
  <si>
    <t>Abreviatura del país en el que se localiza el Carreteras</t>
  </si>
  <si>
    <t>Capa que contiene los Carreteras desde México hasta Colombia</t>
  </si>
  <si>
    <t>Lontigtud del tramo carretro</t>
  </si>
  <si>
    <t>Nombre de la Carretera</t>
  </si>
  <si>
    <t>Velocidad media de tránsito</t>
  </si>
  <si>
    <t>Veloicidad</t>
  </si>
  <si>
    <t>Detalla si la vía o carretara es de primer, segundo o tercer nivel</t>
  </si>
  <si>
    <t>Núcleos Urbanos</t>
  </si>
  <si>
    <t xml:space="preserve">Localiza los núcleos urbanos de interés </t>
  </si>
  <si>
    <t>Nombre del centro urbano</t>
  </si>
  <si>
    <t>Jerarquía del centro urbano conforme a su relevancia nacional</t>
  </si>
  <si>
    <t>1: Muy importante
2: Importante
3: Medianamente importante
4: Poco importante
5: Irrelevante</t>
  </si>
  <si>
    <t>Nodo en el que se origina la carga (sin tildes ni caracteres especiales)</t>
  </si>
  <si>
    <t>Nodo en el que se origina la carga (Con ortografía correcta)</t>
  </si>
  <si>
    <t>Nodos de exportación</t>
  </si>
  <si>
    <t>Capa que contiene los nodos de exportación de cadenas de valor</t>
  </si>
  <si>
    <t>Tipo</t>
  </si>
  <si>
    <t>Clasifica el modo de transporte por el que se exporta la mercancía</t>
  </si>
  <si>
    <r>
      <t>Portuario:</t>
    </r>
    <r>
      <rPr>
        <sz val="12"/>
        <color theme="1"/>
        <rFont val="Calibri"/>
        <family val="2"/>
        <scheme val="minor"/>
      </rPr>
      <t xml:space="preserve"> A través de envíos marítimos</t>
    </r>
    <r>
      <rPr>
        <b/>
        <sz val="12"/>
        <color theme="1"/>
        <rFont val="Calibri"/>
        <family val="2"/>
        <scheme val="minor"/>
      </rPr>
      <t xml:space="preserve">
Aeroportuario: </t>
    </r>
    <r>
      <rPr>
        <sz val="12"/>
        <color theme="1"/>
        <rFont val="Calibri"/>
        <family val="2"/>
        <scheme val="minor"/>
      </rPr>
      <t>Envíos aéreos</t>
    </r>
    <r>
      <rPr>
        <b/>
        <sz val="12"/>
        <color theme="1"/>
        <rFont val="Calibri"/>
        <family val="2"/>
        <scheme val="minor"/>
      </rPr>
      <t xml:space="preserve">
Terrestre: </t>
    </r>
    <r>
      <rPr>
        <sz val="12"/>
        <color theme="1"/>
        <rFont val="Calibri"/>
        <family val="2"/>
        <scheme val="minor"/>
      </rPr>
      <t>Envíos carreteros</t>
    </r>
  </si>
  <si>
    <t>Nodo de exportación</t>
  </si>
  <si>
    <t>Nodo en el que se exporta la carga (sin tildes ni caracteres especiales)</t>
  </si>
  <si>
    <t>Nodo de exportación OC</t>
  </si>
  <si>
    <t>Nodo en el que se exporta la carga  (Con ortografía correcta)</t>
  </si>
  <si>
    <t>Rubro</t>
  </si>
  <si>
    <t>Pais</t>
  </si>
  <si>
    <t>Cadena</t>
  </si>
  <si>
    <t>Cadena_OC</t>
  </si>
  <si>
    <t>P_Producto</t>
  </si>
  <si>
    <t>P_Produc_1</t>
  </si>
  <si>
    <t>Nodo_Org_D</t>
  </si>
  <si>
    <t>Nodo_Org_1</t>
  </si>
  <si>
    <t>Nodo_Exp_I</t>
  </si>
  <si>
    <t>Nodo_Exp_1</t>
  </si>
  <si>
    <t>Tot_FOB_20</t>
  </si>
  <si>
    <t>Tot_Ton_20</t>
  </si>
  <si>
    <t>Tot_FOB_21</t>
  </si>
  <si>
    <t>Tot_Ton_21</t>
  </si>
  <si>
    <t>Tot_FOB_22</t>
  </si>
  <si>
    <t>Tot_Ton_22</t>
  </si>
  <si>
    <t>FOB_2020</t>
  </si>
  <si>
    <t>Ton_2020</t>
  </si>
  <si>
    <t>FOB_2019</t>
  </si>
  <si>
    <t>Ton_2019</t>
  </si>
  <si>
    <t>FOB_2018</t>
  </si>
  <si>
    <t>Ton_2018</t>
  </si>
  <si>
    <t>D1_O1_2019</t>
  </si>
  <si>
    <t>D2_O2_2019</t>
  </si>
  <si>
    <t>D3_O2_2019</t>
  </si>
  <si>
    <t>D1_O1_FOB_</t>
  </si>
  <si>
    <t>D2_O2_FOB_</t>
  </si>
  <si>
    <t>D3_O3_FOB_</t>
  </si>
  <si>
    <t>D1_O1_Tons</t>
  </si>
  <si>
    <t>D2_O1_Tons</t>
  </si>
  <si>
    <t>D3_O3Tons_</t>
  </si>
  <si>
    <t>name</t>
  </si>
  <si>
    <t>Long_KM</t>
  </si>
  <si>
    <t>Identifica si la mercacía movilizada se refiere a importaciones o exportaciones</t>
  </si>
  <si>
    <r>
      <rPr>
        <b/>
        <sz val="11"/>
        <color theme="1"/>
        <rFont val="Calibri"/>
        <family val="2"/>
        <scheme val="minor"/>
      </rPr>
      <t>Importación:</t>
    </r>
    <r>
      <rPr>
        <sz val="11"/>
        <color theme="1"/>
        <rFont val="Calibri"/>
        <family val="2"/>
        <scheme val="minor"/>
      </rPr>
      <t xml:space="preserve"> Compra de bienes o servicios a un país extranjero para su utilización en territorio nacional.
</t>
    </r>
    <r>
      <rPr>
        <b/>
        <sz val="11"/>
        <color theme="1"/>
        <rFont val="Calibri"/>
        <family val="2"/>
        <scheme val="minor"/>
      </rPr>
      <t>Exportación</t>
    </r>
    <r>
      <rPr>
        <sz val="11"/>
        <color theme="1"/>
        <rFont val="Calibri"/>
        <family val="2"/>
        <scheme val="minor"/>
      </rPr>
      <t>: Venta de bienes o servicios producidos o generados en un país a compradores del exterior</t>
    </r>
  </si>
  <si>
    <t>País de la cadena de valor (Sin ortografía)</t>
  </si>
  <si>
    <t>Costa Rica
Guatemala
Honduras
Mexico
Nicaragua
Panama
El Salvador</t>
  </si>
  <si>
    <t>País de la cadena de valor (Con ortografía)</t>
  </si>
  <si>
    <t>Costa Rica
Guatemala
Honduras
México
Nicaragua
Panamá
El Salvador</t>
  </si>
  <si>
    <t>Segmenta las cadenas de valor entre los principales productos movilizados pro el país (Sin tildes ni caracteres especiales)</t>
  </si>
  <si>
    <t>Abonos
Cafe, te, yerba mate y especias
Carne y despojos comestibles
Carton y papel
Cereales
Combustibles minerales, aceites minerales; ceras minerales, otros
Frutas y verduras
Herramientas y utiles de metal comun
Instrumentos medicos
Manufacturas metalicas
Maquinaria electrica
Maquinaria mecanica
Minerales
Perlas finas y piedras preciosas
Pescados y crustaceos, moluscos y demas invertebrados acuaticos
Plastico y sus manufacturas
Prendas y complementos (accesorios), de vestir, de punto
Prendas y complementos (accesorios), de vestir, excepto los de punto
Preparaciones alimenticias diversas
Productos farmaceuticos
Productos quimicos
Tejidos de punto</t>
  </si>
  <si>
    <t>Segmenta las cadenas de valor entre los principales productos movilizados pro el país (Con tildes y caracteres especiales)</t>
  </si>
  <si>
    <t>Abonos
Café, té, yerba mate y especias
Carne y despojos comestibles
Carton y papel
Cereales
Combustibles minerales, aceites minerales; ceras minerales, otros
Frutas y verduras
Herramientas y utiles de metal común
Instrumentos médicos
Manufacturas metálicas
Maquinaria eléctrica
Maquinaria mecánica
Minerales
Perlas finas y piedras preciosas
Pescados y crustáceos, moluscos y demas invertebrados acuáticos
Plástico y sus manufacturas
Prendas y complementos (accesorios), de vestir, de punto
Prendas y complementos (accesorios), de vestir, excepto los de punto
Preparaciones alimenticias diversas
Productos farmacéuticos
Productos químicos
Tejidos de punto</t>
  </si>
  <si>
    <t>Principale productos movilizados en la cadena de valor (Sin ortografía)</t>
  </si>
  <si>
    <t>Principale productos movilizados en la cadena de valor (Con ortografía)</t>
  </si>
  <si>
    <t>Total FOB movilizado en toda la cadena de valor en 2019</t>
  </si>
  <si>
    <t>Total TON movilizado en toda la cadena de valo en 2019</t>
  </si>
  <si>
    <t>Total FOB movilizado en toda la cadena de valor en 2020</t>
  </si>
  <si>
    <t>Total TON movilizado en toda la cadena de valo en 2020</t>
  </si>
  <si>
    <t>FOB movilizado en la ruta de la cadena de valor en 2019</t>
  </si>
  <si>
    <t>TON movilizado en la ruta de la cadena de valor en 2019</t>
  </si>
  <si>
    <t>FOB movilizado en la ruta de la cadena de valor en 2020</t>
  </si>
  <si>
    <t>TON movilizado en la ruta de la cadena de valor en 2020</t>
  </si>
  <si>
    <t>Total FOB movilizado en toda la cadena de valor en 2018</t>
  </si>
  <si>
    <t>Total TON movilizado en toda la cadena de valo en 2018</t>
  </si>
  <si>
    <t>FOB movilizado en la ruta de la cadena de valor en 2018</t>
  </si>
  <si>
    <t>TON movilizado en la ruta de la cadena de valor en 2018</t>
  </si>
  <si>
    <t>Principal origen o destino de la mercacía</t>
  </si>
  <si>
    <t>Tercer origen o destino de la mercancía</t>
  </si>
  <si>
    <t>Segundo origen o destino de la mercacía</t>
  </si>
  <si>
    <t>FOB pronmedio al destino uno</t>
  </si>
  <si>
    <t>FOB pronmedio al destino dos</t>
  </si>
  <si>
    <t>FOB pronmedio al destino tres</t>
  </si>
  <si>
    <t>TON pronmedio al destino uno</t>
  </si>
  <si>
    <t>TON pronmedio al destino dos</t>
  </si>
  <si>
    <t>TON pronmedio al destino tres</t>
  </si>
  <si>
    <t>Condificación de la ruta en el levantamiento. Dónde cada nombre referencia el corredor y el país en el que se encuentra. Ej. CP-PAN (Corredor Pacífico en Panamá)</t>
  </si>
  <si>
    <t>Nombre del la vía</t>
  </si>
  <si>
    <t>Longitud del tramo en km</t>
  </si>
  <si>
    <t>No</t>
  </si>
  <si>
    <t>Sí</t>
  </si>
  <si>
    <t>Ruta de la capa</t>
  </si>
  <si>
    <t>https://www.inegi.org.mx/app/biblioteca/ficha.html?upc=889463674641</t>
  </si>
  <si>
    <t>https://datos.gob.mx/busca/dataset?q=puentes&amp;theme=Infraestructura&amp;organization=estado-de-jalisco&amp;res_format=SHP&amp;sort=score+desc%2C+metadata_modified+desc</t>
  </si>
  <si>
    <t>No se requiere</t>
  </si>
  <si>
    <t>https://antares.inegi.org.mx/analisis/red_hidro/siatl/#</t>
  </si>
  <si>
    <t>OSM</t>
  </si>
  <si>
    <t>https://www.inegi.org.mx/app/descarga/default.html</t>
  </si>
  <si>
    <t>Ruta Alternativa</t>
  </si>
  <si>
    <t>Disponible</t>
  </si>
  <si>
    <t>Cadenas logísticas</t>
  </si>
  <si>
    <t>Capa que contiene las cadenas logísticas de valor con su información particular sobre nodos productivos, nodos de exportación, principales productos y otros.</t>
  </si>
  <si>
    <t>Jerarquía asociada a la vía de tránsito</t>
  </si>
  <si>
    <t>Component</t>
  </si>
  <si>
    <t>Exposure</t>
  </si>
  <si>
    <t>Vulnerability</t>
  </si>
  <si>
    <t>Hazard</t>
  </si>
  <si>
    <t>Capa que contiene los puentes del país sobre los corredores principales corredores (red vial primaria y secundaria)</t>
  </si>
  <si>
    <t>Fuentes oficiales (Ministerios de Obras Públicas / Transporte), fuentes secundarias</t>
  </si>
  <si>
    <t>Información Necesaria para el BSA</t>
  </si>
  <si>
    <t xml:space="preserve">Permite establecer la edad del puente. Año de construcción. </t>
  </si>
  <si>
    <t>País en el que se localiza el puente (Guatemala - Honduras - El Salvador - Nicaragua - Costa Rica - Panamá, etc.)</t>
  </si>
  <si>
    <t>Capa base de los corredores. Codifica la nomenclatura y los filtros del BSA</t>
  </si>
  <si>
    <t>Dominio del campo / Ejemplo</t>
  </si>
  <si>
    <t>Tiempo de rehabilitación</t>
  </si>
  <si>
    <t>Tiempo_rehab</t>
  </si>
  <si>
    <t>Funciones_Dano</t>
  </si>
  <si>
    <t>Literatura especializada, modelos analíticos, criterio experto, talleres</t>
  </si>
  <si>
    <t>Base de datos que contiene información sobre los tiempos de rehabilitación de diferentes tipos de vía, en función de niveles de intensidad de amenazas hidrometeorológicas y geofísicas</t>
  </si>
  <si>
    <t xml:space="preserve">Identifica un conjunto de elementos expuestos (de infraestructura vial) que comparten una serie de características físicas (tipo de vía/puente/drenaje, material de construcción, nivel de servicio, etc.) con un código único </t>
  </si>
  <si>
    <t>País de la tipología de infraestructura (Sin ortografía)</t>
  </si>
  <si>
    <t>País de la tipología de infraestructura (Con ortografía)</t>
  </si>
  <si>
    <t>Int_inunda</t>
  </si>
  <si>
    <t>Fuentes oficiales (Ministerios de Comercio, Ministerio de Hacienda), fuentes secundarias</t>
  </si>
  <si>
    <t>Fuentes oficiales (Ministerios de Comercio Exterior / Ministerio de Hacienda), fuentes secundarias</t>
  </si>
  <si>
    <t>Core Database</t>
  </si>
  <si>
    <t>Operations</t>
  </si>
  <si>
    <t>GDP_capita</t>
  </si>
  <si>
    <t>Op_cost</t>
  </si>
  <si>
    <t>Medidas de intensidad de amenazas hidrometeorológicas: profundidad de inundación (en metros)</t>
  </si>
  <si>
    <t>Int_sismo</t>
  </si>
  <si>
    <t>Medidas de intensidad de amenazas geofísicas: sismo - aceleración pico del suelo (PGA)</t>
  </si>
  <si>
    <t xml:space="preserve">Double </t>
  </si>
  <si>
    <t>T_int_inunda</t>
  </si>
  <si>
    <t>T_int_sismo</t>
  </si>
  <si>
    <t xml:space="preserve">Rangos o valores definidos de tiempos (en horas) de interrupción de diferentes elementos de infraestructura vial (definidos claramente en la tipología), dado que ocurre un evento con una intensidad definida. Se deben determinar los tiempos de interrupción para cada nivel de intensidad de amenaza de inundación. </t>
  </si>
  <si>
    <t xml:space="preserve">Rangos o valores definidos de tiempos (en horas) de interrupción de diferentes elementos de infraestructura vial (definidos claramente en la tipología), dado que ocurre un evento con una intensidad definida. Se deben determinar los tiempos de interrupción para cada nivel de intensidad de amenaza de sismo. </t>
  </si>
  <si>
    <t>0, 0.5, 1, 1.5, 2, 2.5, …., N. (en metros)</t>
  </si>
  <si>
    <t>0, 500, 1000, 2000, 3000, …., N (PGA en gales)</t>
  </si>
  <si>
    <t>0, 5, 10, 24, 48, 72, …, N (en horas)</t>
  </si>
  <si>
    <t>Nombre de la Base de datos</t>
  </si>
  <si>
    <t>Base de datos que contiene información sobre el porcentaje (nivel medio de daño) de daño promedio para diferentes tipos de vía, en función de niveles de intensidad de amenazas hidrometeorológicas y geofísicas</t>
  </si>
  <si>
    <t>Dano_inunda</t>
  </si>
  <si>
    <t>Dano_sismo</t>
  </si>
  <si>
    <t xml:space="preserve">Rangos o valores definidos de porcentaje medio de daño de diferentes elementos de infraestructura vial (definidos claramente en la tipología), dado que ocurre un evento con una intensidad definida. Se deben determinar los tiempos de interrupción para cada nivel de intensidad de amenaza de inundación. </t>
  </si>
  <si>
    <t xml:space="preserve">Rangos o valores definidos de porcentaje medio de daño de diferentes elementos de infraestructura vial (definidos claramente en la tipología), dado que ocurre un evento con una intensidad definida. Se deben determinar los tiempos de interrupción para cada nivel de intensidad de amenaza de sismo. </t>
  </si>
  <si>
    <t>0, 5, 10, 24, 48, 72, …, 100 (en %)</t>
  </si>
  <si>
    <t>Daño físico medio</t>
  </si>
  <si>
    <t>Producto Interno Bruto per Cápita</t>
  </si>
  <si>
    <t>Base de datos que contiene información sobre el Producto Interno Bruto per cápita del país analizado, actualizado al año en curso</t>
  </si>
  <si>
    <t xml:space="preserve">Fuentes oficiales (Ministerio de Hacienda, Banca Multilaretal) </t>
  </si>
  <si>
    <t>Id</t>
  </si>
  <si>
    <t>Identificador de Segundo nivel de división política del país analizado (Departamento, provincia, etc.)</t>
  </si>
  <si>
    <t>GDP_Cap</t>
  </si>
  <si>
    <t>Producto Interno Bruto per cápita para el segundo nivel de división política del país analizado. En caso de tener únicamente el valor nacional, se repite el valor en todas las celdas</t>
  </si>
  <si>
    <t>Valor económico en Dólares (USD)</t>
  </si>
  <si>
    <t>Costos operativos</t>
  </si>
  <si>
    <t>Base de datos que contiene información sobre los costos operativos de diferentes tipos de vehículo, actualizado al año en curso</t>
  </si>
  <si>
    <t>Fuentes oficiales (Ministerio de Hacienda, Banca Multilaretal)</t>
  </si>
  <si>
    <t>Pais_OC</t>
  </si>
  <si>
    <t>Identificador del tipo de vehículo T9, T10, T11, T12, T13, T14, T15</t>
  </si>
  <si>
    <t>T9: tipo pick-up - T10: Automóvil - T11: Autobuses - T12: Camiones ligeros - T13: Camiones medianos - T14: Camiones pesados - T15: Camiones articulados</t>
  </si>
  <si>
    <t>Op_COST</t>
  </si>
  <si>
    <t>Costo de operación de cada tipo de vehículo</t>
  </si>
  <si>
    <t>Oc_COST</t>
  </si>
  <si>
    <t>Ocupantes (personas) por cada tipo de vehículo</t>
  </si>
  <si>
    <t>Valor en personas</t>
  </si>
  <si>
    <t>Raster_Name</t>
  </si>
  <si>
    <t>ri_h_DO_25.tif</t>
  </si>
  <si>
    <t>ts_DO_1500.tif</t>
  </si>
  <si>
    <t>eq_DO_PGA_1500.tif</t>
  </si>
  <si>
    <t>pl_h_DO_25.tif</t>
  </si>
  <si>
    <t>ri_cc_rcp85_2080_DO_25.tif</t>
  </si>
  <si>
    <t>Hazard - Riverine flood</t>
  </si>
  <si>
    <t>Hazard - Tsunami</t>
  </si>
  <si>
    <t>Hazard - Earthquake</t>
  </si>
  <si>
    <t>Hazard - Pluvial flood</t>
  </si>
  <si>
    <t>Hazard - Riverine flood - Climate Change</t>
  </si>
  <si>
    <t>Sub-component</t>
  </si>
  <si>
    <t>Infraestructura vial</t>
  </si>
  <si>
    <t>Tránsito</t>
  </si>
  <si>
    <t>Tiempo interrupción</t>
  </si>
  <si>
    <t>Daño físico</t>
  </si>
  <si>
    <t>Estado infraestructura</t>
  </si>
  <si>
    <t>Drenaje</t>
  </si>
  <si>
    <t>Drenajes</t>
  </si>
  <si>
    <t>Hazard name</t>
  </si>
  <si>
    <t>Hazard ID</t>
  </si>
  <si>
    <t>pluvial flood</t>
  </si>
  <si>
    <t>pl</t>
  </si>
  <si>
    <t>riverine flood</t>
  </si>
  <si>
    <t>ri</t>
  </si>
  <si>
    <t>tsunami</t>
  </si>
  <si>
    <t>ts</t>
  </si>
  <si>
    <t>earthquake</t>
  </si>
  <si>
    <t>eq</t>
  </si>
  <si>
    <t>liquefaction</t>
  </si>
  <si>
    <t>li</t>
  </si>
  <si>
    <t>Climate horizon</t>
  </si>
  <si>
    <t>Horizon ID</t>
  </si>
  <si>
    <t>Do not apply for earthquake, tsunami, or liquefaction, only apply for flood types</t>
  </si>
  <si>
    <t>Historic</t>
  </si>
  <si>
    <t>h</t>
  </si>
  <si>
    <t>Climate change</t>
  </si>
  <si>
    <t>cc</t>
  </si>
  <si>
    <t>Climate scenario</t>
  </si>
  <si>
    <t>Scenario ID</t>
  </si>
  <si>
    <t>Do not apply for earthquake, tsunami, or liquefaction, only for non-historic flood types</t>
  </si>
  <si>
    <t>RCP 2.6</t>
  </si>
  <si>
    <t>rcp26</t>
  </si>
  <si>
    <t>RCP 4.5</t>
  </si>
  <si>
    <t>rcp45</t>
  </si>
  <si>
    <t>RCP 6.0</t>
  </si>
  <si>
    <t>rcp60</t>
  </si>
  <si>
    <t>RCP 8.5</t>
  </si>
  <si>
    <t>rcp85</t>
  </si>
  <si>
    <t>Projection year</t>
  </si>
  <si>
    <t>Year ID</t>
  </si>
  <si>
    <t>Any year in future</t>
  </si>
  <si>
    <t>For example</t>
  </si>
  <si>
    <t>Country name</t>
  </si>
  <si>
    <t>Country ID</t>
  </si>
  <si>
    <t>Argentina</t>
  </si>
  <si>
    <t>AR</t>
  </si>
  <si>
    <t>Example name for pluvial flood with climate change:</t>
  </si>
  <si>
    <t>Bahamas</t>
  </si>
  <si>
    <t>BS</t>
  </si>
  <si>
    <t>The intensity measure is m</t>
  </si>
  <si>
    <t>Barbados</t>
  </si>
  <si>
    <t>BB</t>
  </si>
  <si>
    <t>Belize</t>
  </si>
  <si>
    <t>BZ</t>
  </si>
  <si>
    <t>Example name for riverine flood without climate change:</t>
  </si>
  <si>
    <t>Bolivia</t>
  </si>
  <si>
    <t>BO</t>
  </si>
  <si>
    <t>Brazil</t>
  </si>
  <si>
    <t>BR</t>
  </si>
  <si>
    <t>Chile</t>
  </si>
  <si>
    <t>CL</t>
  </si>
  <si>
    <t>Example name for tsunamis:</t>
  </si>
  <si>
    <t>Colombia</t>
  </si>
  <si>
    <t>CO</t>
  </si>
  <si>
    <t>Costa Rica</t>
  </si>
  <si>
    <t>CR</t>
  </si>
  <si>
    <t>Dominican Republic</t>
  </si>
  <si>
    <t>DO</t>
  </si>
  <si>
    <t>Example name for earthquakes:</t>
  </si>
  <si>
    <t>Ecuador</t>
  </si>
  <si>
    <t>EC</t>
  </si>
  <si>
    <t>The intensity measure unit can be any, as long as it is consistent between the raster and the vulnerability. Use g as standard</t>
  </si>
  <si>
    <t>El Salvador</t>
  </si>
  <si>
    <t>SV</t>
  </si>
  <si>
    <t>Guatemala</t>
  </si>
  <si>
    <t>GT</t>
  </si>
  <si>
    <t>Example name for liquefaction:</t>
  </si>
  <si>
    <t>Guyana</t>
  </si>
  <si>
    <t>GY</t>
  </si>
  <si>
    <t>Only one raster should be developed for this hazard, affecting the vulnerability only. The values are related to suceptibility</t>
  </si>
  <si>
    <t>Haiti</t>
  </si>
  <si>
    <t>HT</t>
  </si>
  <si>
    <t>Honduras</t>
  </si>
  <si>
    <t>HN</t>
  </si>
  <si>
    <t>Example name for pluvial flood without climate change:</t>
  </si>
  <si>
    <t>Jamaica</t>
  </si>
  <si>
    <t>JM</t>
  </si>
  <si>
    <t>Mexico</t>
  </si>
  <si>
    <t>MX</t>
  </si>
  <si>
    <t>Nicaragua</t>
  </si>
  <si>
    <t>NI</t>
  </si>
  <si>
    <t>Example name for riverine flood with climate change:</t>
  </si>
  <si>
    <t>Panama</t>
  </si>
  <si>
    <t>PA</t>
  </si>
  <si>
    <t>Paraguay</t>
  </si>
  <si>
    <t>PY</t>
  </si>
  <si>
    <t>Peru</t>
  </si>
  <si>
    <t>PE</t>
  </si>
  <si>
    <t>Suriname</t>
  </si>
  <si>
    <t>SR</t>
  </si>
  <si>
    <t>Trinidad and Tobago</t>
  </si>
  <si>
    <t>TT</t>
  </si>
  <si>
    <t>Uruguay</t>
  </si>
  <si>
    <t>UY</t>
  </si>
  <si>
    <t>Venezuela</t>
  </si>
  <si>
    <t>VE</t>
  </si>
  <si>
    <t>Intensity measure</t>
  </si>
  <si>
    <t>Measure ID</t>
  </si>
  <si>
    <t>Use only for earthquakes. For flood hazards, the intensity measure must be water height; for liquefaction, use a numeric value between 1 and 4 indicating susceptibility to liquefaction</t>
  </si>
  <si>
    <t>Peak ground acceleration</t>
  </si>
  <si>
    <t>PGA</t>
  </si>
  <si>
    <t xml:space="preserve">Specctral acceleration at a period of vibration  </t>
  </si>
  <si>
    <t>SAT03</t>
  </si>
  <si>
    <t>For example; 03 means that the structural system has a T = 0.3 s. This T could be any actual value corresponding to the fundamental period of vibration of the specific structural system</t>
  </si>
  <si>
    <t>SAT06</t>
  </si>
  <si>
    <t>Return period</t>
  </si>
  <si>
    <t>Return period ID</t>
  </si>
  <si>
    <t>Any return period</t>
  </si>
  <si>
    <t>File type</t>
  </si>
  <si>
    <t>File extension</t>
  </si>
  <si>
    <t>Raster</t>
  </si>
  <si>
    <t>tif</t>
  </si>
  <si>
    <t>Fuentes oficiales (Banca Multilateral, Instituciones oficiales de los países), fuentes secundarias</t>
  </si>
  <si>
    <t>Nombre del componente</t>
  </si>
  <si>
    <t>Amenaza</t>
  </si>
  <si>
    <t>Mallas ráster de amenaza que representan, para cada celda, la intensidad del fenómeno (p. ej., tirante de inundación, velocidad, precipitación extrema, aceleración sísmica) asociada a un evento de diseño con período de retorno TR (equivalentemente, con probabilidad anual de excedencia AEP = 1/TR).</t>
  </si>
  <si>
    <t>Identificador de la zona climática homogénea del país de análisis</t>
  </si>
  <si>
    <t>z_name</t>
  </si>
  <si>
    <t>Nombre de la zona climática homogénea del país de análisis</t>
  </si>
  <si>
    <t>Capa que debe ser construida por un experto en cambio climático</t>
  </si>
  <si>
    <t>Nombre de la Capa</t>
  </si>
  <si>
    <t>Zona_Clima_CC</t>
  </si>
  <si>
    <t>TP5S2M</t>
  </si>
  <si>
    <t>TP500S2M</t>
  </si>
  <si>
    <t>horiz</t>
  </si>
  <si>
    <t>int</t>
  </si>
  <si>
    <t>Horizonte temporal.</t>
  </si>
  <si>
    <t>TP5S5M</t>
  </si>
  <si>
    <t>float</t>
  </si>
  <si>
    <t>T′ para T=5, SSP5-8.5, p50.</t>
  </si>
  <si>
    <t>TP20S5M</t>
  </si>
  <si>
    <t>T′ para T=20, SSP5-8.5, p50.</t>
  </si>
  <si>
    <t>TP50S5M</t>
  </si>
  <si>
    <t>T′ para T=50, SSP5-8.5, p50.</t>
  </si>
  <si>
    <t>TP100S5M</t>
  </si>
  <si>
    <t>T′ para T=100, SSP5-8.5, p50.</t>
  </si>
  <si>
    <t>TP200S5M</t>
  </si>
  <si>
    <t>T′ para T=200, SSP5-8.5, p50.</t>
  </si>
  <si>
    <t>TP500S5M</t>
  </si>
  <si>
    <t>T′ para T=500, SSP5-8.5, p50.</t>
  </si>
  <si>
    <t>T′ para T=5, SSP2-4.5, p50.</t>
  </si>
  <si>
    <t>TP20S2M</t>
  </si>
  <si>
    <t>T′ para T=20, SSP2-4.5, p50.</t>
  </si>
  <si>
    <t>TP50S2M</t>
  </si>
  <si>
    <t>T′ para T=50, SSP2-4.5, p50.</t>
  </si>
  <si>
    <t>TP100S2M</t>
  </si>
  <si>
    <t>T′ para T=100, SSP2-4.5, p50.</t>
  </si>
  <si>
    <t>TP200S2M</t>
  </si>
  <si>
    <t>T′ para T=200, SSP2-4.5, p50.</t>
  </si>
  <si>
    <t>T′ para T=500, SSP2-4.5, p50.</t>
  </si>
  <si>
    <t>…</t>
  </si>
  <si>
    <t>Sufijos: L, M, H; TR ∈ {5,20,50,100,200,500}.</t>
  </si>
  <si>
    <t>Importance</t>
  </si>
  <si>
    <t>Características del drenaje</t>
  </si>
  <si>
    <t xml:space="preserve">Permite establecer la edad del drenaje. Año de construcción. </t>
  </si>
  <si>
    <t>Califica el estado de la infraestructura en Bueno, Malo y Regular de acuerdo a su afectación estructural, funcionamiento, etc.</t>
  </si>
  <si>
    <r>
      <rPr>
        <b/>
        <sz val="11"/>
        <color theme="1"/>
        <rFont val="Calibri"/>
        <family val="2"/>
        <scheme val="minor"/>
      </rPr>
      <t>Drenaje transversal (alcantarilla):</t>
    </r>
    <r>
      <rPr>
        <sz val="11"/>
        <color theme="1"/>
        <rFont val="Calibri"/>
        <family val="2"/>
        <scheme val="minor"/>
      </rPr>
      <t xml:space="preserve"> Estructura que permite el paso del flujo por debajo de la vía (o acceso) para cruzar el alineamiento vial. Puede ser tubular (circular), cajón (box) o arco.
</t>
    </r>
    <r>
      <rPr>
        <b/>
        <sz val="11"/>
        <color theme="1"/>
        <rFont val="Calibri"/>
        <family val="2"/>
        <scheme val="minor"/>
      </rPr>
      <t>Alcantarilla tubular (circular):</t>
    </r>
    <r>
      <rPr>
        <sz val="11"/>
        <color theme="1"/>
        <rFont val="Calibri"/>
        <family val="2"/>
        <scheme val="minor"/>
      </rPr>
      <t xml:space="preserve"> Drenaje transversal constituido por uno o varios tubos (concreto, metal corrugado, PVC/HDPE u otro material) que conducen el flujo bajo la vía.
</t>
    </r>
    <r>
      <rPr>
        <b/>
        <sz val="11"/>
        <color theme="1"/>
        <rFont val="Calibri"/>
        <family val="2"/>
        <scheme val="minor"/>
      </rPr>
      <t>Alcantarilla cajón (box culvert):</t>
    </r>
    <r>
      <rPr>
        <sz val="11"/>
        <color theme="1"/>
        <rFont val="Calibri"/>
        <family val="2"/>
        <scheme val="minor"/>
      </rPr>
      <t xml:space="preserve"> Drenaje transversal con sección rectangular (de una o múltiples celdas) que conduce caudales mayores y/o permite mejor control hidráulico y estructural.
</t>
    </r>
    <r>
      <rPr>
        <b/>
        <sz val="11"/>
        <color theme="1"/>
        <rFont val="Calibri"/>
        <family val="2"/>
        <scheme val="minor"/>
      </rPr>
      <t>Baden o vado (paso a nivel):</t>
    </r>
    <r>
      <rPr>
        <sz val="11"/>
        <color theme="1"/>
        <rFont val="Calibri"/>
        <family val="2"/>
        <scheme val="minor"/>
      </rPr>
      <t xml:space="preserve"> Cruce donde el flujo pasa sobre la calzada durante eventos, sin estructura de conducción cerrada (o con conducción mínima). Su operación es sensible a crecientes.
</t>
    </r>
    <r>
      <rPr>
        <b/>
        <sz val="11"/>
        <color theme="1"/>
        <rFont val="Calibri"/>
        <family val="2"/>
        <scheme val="minor"/>
      </rPr>
      <t>Drenaje longitudinal (cuneta):</t>
    </r>
    <r>
      <rPr>
        <sz val="11"/>
        <color theme="1"/>
        <rFont val="Calibri"/>
        <family val="2"/>
        <scheme val="minor"/>
      </rPr>
      <t xml:space="preserve"> Canal abierto paralelo a la vía que recoge escorrentía superficial y la conduce hacia descargas, obras transversales o disipadores.
</t>
    </r>
    <r>
      <rPr>
        <b/>
        <sz val="11"/>
        <color theme="1"/>
        <rFont val="Calibri"/>
        <family val="2"/>
        <scheme val="minor"/>
      </rPr>
      <t>Cuneta revestida:</t>
    </r>
    <r>
      <rPr>
        <sz val="11"/>
        <color theme="1"/>
        <rFont val="Calibri"/>
        <family val="2"/>
        <scheme val="minor"/>
      </rPr>
      <t xml:space="preserve"> Cuneta con recubrimiento (concreto, mampostería, gavión, etc.) para reducir erosión y aumentar capacidad hidráulica.
</t>
    </r>
    <r>
      <rPr>
        <b/>
        <sz val="11"/>
        <color theme="1"/>
        <rFont val="Calibri"/>
        <family val="2"/>
        <scheme val="minor"/>
      </rPr>
      <t>Cuneta en tierra (no revestida):</t>
    </r>
    <r>
      <rPr>
        <sz val="11"/>
        <color theme="1"/>
        <rFont val="Calibri"/>
        <family val="2"/>
        <scheme val="minor"/>
      </rPr>
      <t xml:space="preserve"> Cuneta excavada en suelo natural, más susceptible a erosión, colmatación y pérdida de sección efectiva.
</t>
    </r>
    <r>
      <rPr>
        <b/>
        <sz val="11"/>
        <color theme="1"/>
        <rFont val="Calibri"/>
        <family val="2"/>
        <scheme val="minor"/>
      </rPr>
      <t>Bordillo–cuneta:</t>
    </r>
    <r>
      <rPr>
        <sz val="11"/>
        <color theme="1"/>
        <rFont val="Calibri"/>
        <family val="2"/>
        <scheme val="minor"/>
      </rPr>
      <t xml:space="preserve"> Elemento en vías urbanas que combina confinamiento del pavimento y conducción de escorrentía superficial hacia sumideros o descargas.
</t>
    </r>
    <r>
      <rPr>
        <b/>
        <sz val="11"/>
        <color theme="1"/>
        <rFont val="Calibri"/>
        <family val="2"/>
        <scheme val="minor"/>
      </rPr>
      <t>Sumidero (boca de tormenta):</t>
    </r>
    <r>
      <rPr>
        <sz val="11"/>
        <color theme="1"/>
        <rFont val="Calibri"/>
        <family val="2"/>
        <scheme val="minor"/>
      </rPr>
      <t xml:space="preserve"> Estructura de captación superficial que recoge escorrentía de la calzada y la conduce a tubería pluvial (sistema cerrado).
</t>
    </r>
    <r>
      <rPr>
        <b/>
        <sz val="11"/>
        <color theme="1"/>
        <rFont val="Calibri"/>
        <family val="2"/>
        <scheme val="minor"/>
      </rPr>
      <t>Sistema pluvial cerrado:</t>
    </r>
    <r>
      <rPr>
        <sz val="11"/>
        <color theme="1"/>
        <rFont val="Calibri"/>
        <family val="2"/>
        <scheme val="minor"/>
      </rPr>
      <t xml:space="preserve"> Red de tuberías y pozos/cámaras que transporta caudales captados por sumideros, descargando a un cauce o estructura de salida.
</t>
    </r>
    <r>
      <rPr>
        <b/>
        <sz val="11"/>
        <color theme="1"/>
        <rFont val="Calibri"/>
        <family val="2"/>
        <scheme val="minor"/>
      </rPr>
      <t>Pozo de inspección / cámara:</t>
    </r>
    <r>
      <rPr>
        <sz val="11"/>
        <color theme="1"/>
        <rFont val="Calibri"/>
        <family val="2"/>
        <scheme val="minor"/>
      </rPr>
      <t xml:space="preserve"> Estructura de acceso a la red pluvial cerrada para inspección, limpieza y cambios de dirección o pendiente.
</t>
    </r>
    <r>
      <rPr>
        <b/>
        <sz val="11"/>
        <color theme="1"/>
        <rFont val="Calibri"/>
        <family val="2"/>
        <scheme val="minor"/>
      </rPr>
      <t>Entrada/Salida de alcantarilla (bocatoma/boca de descarga):</t>
    </r>
    <r>
      <rPr>
        <sz val="11"/>
        <color theme="1"/>
        <rFont val="Calibri"/>
        <family val="2"/>
        <scheme val="minor"/>
      </rPr>
      <t xml:space="preserve"> Zona donde el flujo entra/sale de la obra transversal; suele incluir aletas, cabezales y protecciones contra erosión.
</t>
    </r>
    <r>
      <rPr>
        <b/>
        <sz val="11"/>
        <color theme="1"/>
        <rFont val="Calibri"/>
        <family val="2"/>
        <scheme val="minor"/>
      </rPr>
      <t>Aletas y cabezal (endwall/headwall):</t>
    </r>
    <r>
      <rPr>
        <sz val="11"/>
        <color theme="1"/>
        <rFont val="Calibri"/>
        <family val="2"/>
        <scheme val="minor"/>
      </rPr>
      <t xml:space="preserve"> Elementos estructurales en la entrada/salida que confinan el terraplén, estabilizan taludes y guían el flujo hacia la alcantarilla.
</t>
    </r>
    <r>
      <rPr>
        <b/>
        <sz val="11"/>
        <color theme="1"/>
        <rFont val="Calibri"/>
        <family val="2"/>
        <scheme val="minor"/>
      </rPr>
      <t>Protección de taludes y márgenes:</t>
    </r>
    <r>
      <rPr>
        <sz val="11"/>
        <color theme="1"/>
        <rFont val="Calibri"/>
        <family val="2"/>
        <scheme val="minor"/>
      </rPr>
      <t xml:space="preserve"> Obras para controlar erosión (enrocado, gaviones, geotextiles, concreto lanzado, vegetación) alrededor de cunetas, descargas o cauces.
</t>
    </r>
    <r>
      <rPr>
        <b/>
        <sz val="11"/>
        <color theme="1"/>
        <rFont val="Calibri"/>
        <family val="2"/>
        <scheme val="minor"/>
      </rPr>
      <t>Disipador de energía:</t>
    </r>
    <r>
      <rPr>
        <sz val="11"/>
        <color theme="1"/>
        <rFont val="Calibri"/>
        <family val="2"/>
        <scheme val="minor"/>
      </rPr>
      <t xml:space="preserve"> Estructura en la salida (o descarga) que reduce velocidad y evita socavación (cuenco amortiguador, dentellones, losas, enrocado, etc.).
</t>
    </r>
    <r>
      <rPr>
        <b/>
        <sz val="11"/>
        <color theme="1"/>
        <rFont val="Calibri"/>
        <family val="2"/>
        <scheme val="minor"/>
      </rPr>
      <t>Rejilla/guardabasuras:</t>
    </r>
    <r>
      <rPr>
        <sz val="11"/>
        <color theme="1"/>
        <rFont val="Calibri"/>
        <family val="2"/>
        <scheme val="minor"/>
      </rPr>
      <t xml:space="preserve"> Elemento (generalmente metálico) que retiene sólidos en entradas/sumideros; reduce obstrucción interna pero requiere mantenimiento frecuente.
</t>
    </r>
    <r>
      <rPr>
        <b/>
        <sz val="11"/>
        <color theme="1"/>
        <rFont val="Calibri"/>
        <family val="2"/>
        <scheme val="minor"/>
      </rPr>
      <t xml:space="preserve">Sin drenaje longitudinal: </t>
    </r>
    <r>
      <rPr>
        <sz val="11"/>
        <color theme="1"/>
        <rFont val="Calibri"/>
        <family val="2"/>
        <scheme val="minor"/>
      </rPr>
      <t xml:space="preserve">Tramo sin cunetas/bordillos funcionales; la escorrentía fluye libremente por la superficie o taludes, aumentando riesgo de erosión y daños.
</t>
    </r>
    <r>
      <rPr>
        <b/>
        <sz val="11"/>
        <color theme="1"/>
        <rFont val="Calibri"/>
        <family val="2"/>
        <scheme val="minor"/>
      </rPr>
      <t>Drenaje obstruido:</t>
    </r>
    <r>
      <rPr>
        <sz val="11"/>
        <color theme="1"/>
        <rFont val="Calibri"/>
        <family val="2"/>
        <scheme val="minor"/>
      </rPr>
      <t xml:space="preserve"> Presencia de sedimentos, residuos, vegetación o colapso parcial que reduce de forma significativa la sección hidráulica efectiva.
</t>
    </r>
    <r>
      <rPr>
        <b/>
        <sz val="11"/>
        <color theme="1"/>
        <rFont val="Calibri"/>
        <family val="2"/>
        <scheme val="minor"/>
      </rPr>
      <t>Drenaje colmatado:</t>
    </r>
    <r>
      <rPr>
        <sz val="11"/>
        <color theme="1"/>
        <rFont val="Calibri"/>
        <family val="2"/>
        <scheme val="minor"/>
      </rPr>
      <t xml:space="preserve"> Drenaje con acumulación de sedimentos (y/o material fino) que ocupa parte importante de la sección y disminuye capacidad.
</t>
    </r>
    <r>
      <rPr>
        <b/>
        <sz val="11"/>
        <color theme="1"/>
        <rFont val="Calibri"/>
        <family val="2"/>
        <scheme val="minor"/>
      </rPr>
      <t>Drenaje dañado / colapsado:</t>
    </r>
    <r>
      <rPr>
        <sz val="11"/>
        <color theme="1"/>
        <rFont val="Calibri"/>
        <family val="2"/>
        <scheme val="minor"/>
      </rPr>
      <t xml:space="preserve"> Estructura con falla física (roturas, deformaciones, socavación, pérdida de alineación, asentamientos) que compromete operación y/o estabilidad vial.
</t>
    </r>
    <r>
      <rPr>
        <b/>
        <sz val="11"/>
        <color theme="1"/>
        <rFont val="Calibri"/>
        <family val="2"/>
        <scheme val="minor"/>
      </rPr>
      <t>Descarga sin protección:</t>
    </r>
    <r>
      <rPr>
        <sz val="11"/>
        <color theme="1"/>
        <rFont val="Calibri"/>
        <family val="2"/>
        <scheme val="minor"/>
      </rPr>
      <t xml:space="preserve"> Salida de tubería/alcantarilla que descarga directamente a suelo o talud sin disipación ni protección, con alta probabilidad de erosión/socavación.
</t>
    </r>
    <r>
      <rPr>
        <b/>
        <sz val="11"/>
        <color theme="1"/>
        <rFont val="Calibri"/>
        <family val="2"/>
        <scheme val="minor"/>
      </rPr>
      <t>Sección hidráulica adecuada:</t>
    </r>
    <r>
      <rPr>
        <sz val="11"/>
        <color theme="1"/>
        <rFont val="Calibri"/>
        <family val="2"/>
        <scheme val="minor"/>
      </rPr>
      <t xml:space="preserve"> Drenaje cuya geometría/condición aparente permite conducir el flujo esperado sin evidencias de rebose frecuente, erosión severa o retroceso de flujo.
</t>
    </r>
    <r>
      <rPr>
        <b/>
        <sz val="11"/>
        <color theme="1"/>
        <rFont val="Calibri"/>
        <family val="2"/>
        <scheme val="minor"/>
      </rPr>
      <t xml:space="preserve">Sin evidencia de mantenimiento: </t>
    </r>
    <r>
      <rPr>
        <sz val="11"/>
        <color theme="1"/>
        <rFont val="Calibri"/>
        <family val="2"/>
        <scheme val="minor"/>
      </rPr>
      <t>Drenaje con señales de falta de limpieza o intervención (vegetación densa, sedimentos acumulados, basura, rejillas tapadas, etc.).</t>
    </r>
  </si>
  <si>
    <t>País en el que se localiza el drenaje (Guatemala - Honduras - El Salvador - Nicaragua - Costa Rica - Panamá, etc.)</t>
  </si>
  <si>
    <t>Descripción de la ubicación del drenaje</t>
  </si>
  <si>
    <t>Descripción de la ubicación de la calzada</t>
  </si>
  <si>
    <t>Nombre del lugar de aforo para la toma de datos</t>
  </si>
  <si>
    <t>Año de levantamiento de la información / Aforo</t>
  </si>
  <si>
    <t>Descripción del lugar de aforo para la toma de datos</t>
  </si>
  <si>
    <t>GDP Cápita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</si>
</sst>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8" x14ac:knownFonts="1">
    <font>
      <sz val="11"/>
      <color theme="1"/>
      <name val="Calibri"/>
      <family val="2"/>
      <scheme val="minor"/>
    </font>
    <font>
      <u/>
      <sz val="11"/>
      <color theme="10"/>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8"/>
      <color theme="0"/>
      <name val="Calibri"/>
      <family val="2"/>
      <scheme val="minor"/>
    </font>
    <font>
      <sz val="18"/>
      <color theme="0"/>
      <name val="Calibri"/>
      <family val="2"/>
      <scheme val="minor"/>
    </font>
  </fonts>
  <fills count="11">
    <fill>
      <patternFill patternType="none"/>
    </fill>
    <fill>
      <patternFill patternType="gray125"/>
    </fill>
    <fill>
      <patternFill patternType="solid">
        <fgColor rgb="FFF2F2F2"/>
        <bgColor indexed="64"/>
      </patternFill>
    </fill>
    <fill>
      <patternFill patternType="solid">
        <fgColor rgb="FFE2EFDA"/>
        <bgColor indexed="64"/>
      </patternFill>
    </fill>
    <fill>
      <patternFill patternType="solid">
        <fgColor rgb="FFC6E0B4"/>
        <bgColor indexed="64"/>
      </patternFill>
    </fill>
    <fill>
      <patternFill patternType="solid">
        <fgColor rgb="FFD9E1F2"/>
        <bgColor indexed="64"/>
      </patternFill>
    </fill>
    <fill>
      <patternFill patternType="solid">
        <fgColor rgb="FFFAC0C0"/>
        <bgColor indexed="64"/>
      </patternFill>
    </fill>
    <fill>
      <patternFill patternType="solid">
        <fgColor rgb="FFFFDEDE"/>
        <bgColor indexed="64"/>
      </patternFill>
    </fill>
    <fill>
      <patternFill patternType="solid">
        <fgColor theme="0"/>
        <bgColor indexed="64"/>
      </patternFill>
    </fill>
    <fill>
      <patternFill patternType="solid">
        <fgColor theme="3" tint="-0.499984740745262"/>
        <bgColor indexed="64"/>
      </patternFill>
    </fill>
    <fill>
      <patternFill patternType="solid">
        <fgColor theme="0" tint="-4.9989318521683403E-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2" fillId="0" borderId="0" xfId="0" applyFont="1"/>
    <xf numFmtId="0" fontId="2" fillId="0" borderId="1" xfId="0" applyFont="1" applyBorder="1"/>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2" fillId="0" borderId="1" xfId="0" applyFont="1" applyBorder="1" applyAlignment="1">
      <alignment horizontal="center" vertical="center"/>
    </xf>
    <xf numFmtId="0" fontId="2" fillId="0" borderId="2" xfId="0" applyFont="1" applyBorder="1"/>
    <xf numFmtId="0" fontId="0" fillId="4" borderId="3" xfId="0" applyFill="1" applyBorder="1"/>
    <xf numFmtId="0" fontId="1" fillId="0" borderId="0" xfId="1" applyFill="1"/>
    <xf numFmtId="0" fontId="0" fillId="8" borderId="0" xfId="0" applyFill="1"/>
    <xf numFmtId="0" fontId="0" fillId="8" borderId="0" xfId="0" applyFill="1" applyAlignment="1">
      <alignment horizontal="center"/>
    </xf>
    <xf numFmtId="0" fontId="3" fillId="8" borderId="0" xfId="0" applyFont="1" applyFill="1"/>
    <xf numFmtId="0" fontId="0" fillId="8" borderId="4" xfId="0" applyFill="1" applyBorder="1" applyAlignment="1">
      <alignment vertical="center" wrapText="1"/>
    </xf>
    <xf numFmtId="0" fontId="0" fillId="8" borderId="4" xfId="0" applyFill="1" applyBorder="1" applyAlignment="1">
      <alignment vertical="center"/>
    </xf>
    <xf numFmtId="0" fontId="0" fillId="8" borderId="4" xfId="0" applyFill="1" applyBorder="1" applyAlignment="1">
      <alignment horizontal="left" vertical="center"/>
    </xf>
    <xf numFmtId="0" fontId="0" fillId="8" borderId="4" xfId="0" applyFill="1" applyBorder="1" applyAlignment="1">
      <alignment horizontal="left" vertical="center" wrapText="1"/>
    </xf>
    <xf numFmtId="0" fontId="0" fillId="8" borderId="4" xfId="0" applyFill="1" applyBorder="1" applyAlignment="1">
      <alignment horizontal="center" vertical="center"/>
    </xf>
    <xf numFmtId="0" fontId="2" fillId="8" borderId="4" xfId="0" applyFont="1" applyFill="1" applyBorder="1" applyAlignment="1">
      <alignment horizontal="left" vertical="center" indent="1"/>
    </xf>
    <xf numFmtId="0" fontId="5" fillId="8" borderId="4" xfId="0" applyFont="1" applyFill="1" applyBorder="1" applyAlignment="1">
      <alignment horizontal="left" vertical="center" wrapText="1" indent="1"/>
    </xf>
    <xf numFmtId="0" fontId="5" fillId="8" borderId="0" xfId="0" applyFont="1" applyFill="1" applyAlignment="1">
      <alignment horizontal="center"/>
    </xf>
    <xf numFmtId="0" fontId="5" fillId="8" borderId="0" xfId="0" applyFont="1" applyFill="1"/>
    <xf numFmtId="0" fontId="5" fillId="8" borderId="4" xfId="0" applyFont="1" applyFill="1" applyBorder="1" applyAlignment="1">
      <alignment horizontal="left" vertical="center" indent="1"/>
    </xf>
    <xf numFmtId="0" fontId="2" fillId="8" borderId="0" xfId="0" applyFont="1" applyFill="1" applyAlignment="1">
      <alignment horizontal="left" indent="1"/>
    </xf>
    <xf numFmtId="0" fontId="5" fillId="8" borderId="0" xfId="0" applyFont="1" applyFill="1" applyAlignment="1">
      <alignment horizontal="left" indent="1"/>
    </xf>
    <xf numFmtId="0" fontId="2" fillId="8" borderId="4" xfId="0" applyFont="1" applyFill="1" applyBorder="1" applyAlignment="1">
      <alignment horizontal="left" vertical="center"/>
    </xf>
    <xf numFmtId="0" fontId="2" fillId="8" borderId="4" xfId="0" applyFont="1" applyFill="1" applyBorder="1" applyAlignment="1">
      <alignment horizontal="center" vertical="center"/>
    </xf>
    <xf numFmtId="0" fontId="6" fillId="9" borderId="4" xfId="0" applyFont="1" applyFill="1" applyBorder="1" applyAlignment="1">
      <alignment vertical="center"/>
    </xf>
    <xf numFmtId="0" fontId="7" fillId="9" borderId="4" xfId="0" applyFont="1" applyFill="1" applyBorder="1" applyAlignment="1">
      <alignment vertical="center"/>
    </xf>
    <xf numFmtId="0" fontId="0" fillId="10" borderId="0" xfId="0" applyFill="1" applyAlignment="1">
      <alignment vertical="center"/>
    </xf>
    <xf numFmtId="0" fontId="0" fillId="10" borderId="4" xfId="0" applyFill="1" applyBorder="1" applyAlignment="1">
      <alignment horizontal="left" vertical="center"/>
    </xf>
    <xf numFmtId="0" fontId="0" fillId="10" borderId="4" xfId="0" applyFill="1" applyBorder="1" applyAlignment="1">
      <alignment horizontal="left" vertical="center" wrapText="1"/>
    </xf>
    <xf numFmtId="0" fontId="0" fillId="10" borderId="4" xfId="0" applyFill="1" applyBorder="1" applyAlignment="1">
      <alignment vertical="center" wrapText="1"/>
    </xf>
    <xf numFmtId="0" fontId="0" fillId="10" borderId="4" xfId="0" applyFill="1" applyBorder="1" applyAlignment="1">
      <alignment vertical="center"/>
    </xf>
    <xf numFmtId="0" fontId="0" fillId="10" borderId="4" xfId="0" applyFill="1" applyBorder="1" applyAlignment="1">
      <alignment horizontal="center" vertical="center"/>
    </xf>
    <xf numFmtId="0" fontId="0" fillId="0" borderId="4" xfId="0" applyBorder="1" applyAlignment="1">
      <alignment horizontal="left" vertical="center"/>
    </xf>
    <xf numFmtId="0" fontId="0" fillId="0" borderId="4" xfId="0" applyBorder="1" applyAlignment="1">
      <alignment vertical="center"/>
    </xf>
    <xf numFmtId="0" fontId="5" fillId="10" borderId="4" xfId="0" applyFont="1" applyFill="1" applyBorder="1" applyAlignment="1">
      <alignment horizontal="left" vertical="center"/>
    </xf>
    <xf numFmtId="0" fontId="5" fillId="10" borderId="4" xfId="0" applyFont="1" applyFill="1" applyBorder="1" applyAlignment="1">
      <alignment horizontal="left" vertical="center" wrapText="1"/>
    </xf>
    <xf numFmtId="0" fontId="5" fillId="10" borderId="4" xfId="0" applyFont="1" applyFill="1" applyBorder="1" applyAlignment="1">
      <alignment horizontal="center" vertical="center"/>
    </xf>
    <xf numFmtId="0" fontId="1" fillId="8" borderId="0" xfId="1" applyFill="1"/>
    <xf numFmtId="0" fontId="2" fillId="10" borderId="4" xfId="0" applyFont="1" applyFill="1" applyBorder="1" applyAlignment="1">
      <alignment horizontal="left" vertical="center"/>
    </xf>
    <xf numFmtId="0" fontId="2" fillId="10" borderId="4" xfId="0" applyFont="1" applyFill="1" applyBorder="1" applyAlignment="1">
      <alignment horizontal="left" vertical="center" wrapText="1"/>
    </xf>
    <xf numFmtId="0" fontId="0" fillId="8" borderId="0" xfId="0" applyFill="1" applyAlignment="1">
      <alignment vertical="center"/>
    </xf>
    <xf numFmtId="1" fontId="0" fillId="10" borderId="4" xfId="0" applyNumberFormat="1" applyFill="1" applyBorder="1"/>
    <xf numFmtId="1" fontId="0" fillId="10" borderId="4" xfId="0" applyNumberFormat="1" applyFill="1" applyBorder="1" applyAlignment="1">
      <alignment vertical="center"/>
    </xf>
    <xf numFmtId="164" fontId="0" fillId="10" borderId="4" xfId="0" applyNumberFormat="1" applyFill="1" applyBorder="1"/>
    <xf numFmtId="0" fontId="0" fillId="10" borderId="4" xfId="0" applyFill="1" applyBorder="1"/>
    <xf numFmtId="0" fontId="0" fillId="10" borderId="4" xfId="0" applyFill="1" applyBorder="1" applyAlignment="1">
      <alignment horizontal="center"/>
    </xf>
    <xf numFmtId="0" fontId="0" fillId="0" borderId="0" xfId="1" applyFont="1" applyFill="1"/>
    <xf numFmtId="0" fontId="2" fillId="0" borderId="4" xfId="0" applyFont="1" applyBorder="1"/>
    <xf numFmtId="0" fontId="0" fillId="0" borderId="4" xfId="0" applyBorder="1"/>
    <xf numFmtId="0" fontId="0" fillId="0" borderId="0" xfId="0" applyAlignment="1">
      <alignment horizontal="center"/>
    </xf>
    <xf numFmtId="1" fontId="0" fillId="10" borderId="4" xfId="0" applyNumberFormat="1" applyFill="1" applyBorder="1" applyAlignment="1">
      <alignment wrapText="1"/>
    </xf>
    <xf numFmtId="0" fontId="0" fillId="10" borderId="4" xfId="0" applyFill="1" applyBorder="1" applyAlignment="1">
      <alignment horizontal="center" vertical="center" wrapText="1"/>
    </xf>
    <xf numFmtId="1" fontId="0" fillId="10" borderId="4" xfId="0" applyNumberFormat="1" applyFill="1" applyBorder="1" applyAlignment="1">
      <alignment vertical="center" wrapText="1"/>
    </xf>
    <xf numFmtId="0" fontId="2" fillId="0" borderId="4" xfId="0" applyFont="1" applyBorder="1" applyAlignment="1">
      <alignment horizontal="center" vertical="center"/>
    </xf>
    <xf numFmtId="0" fontId="1" fillId="0" borderId="4" xfId="1" applyFill="1" applyBorder="1"/>
    <xf numFmtId="0" fontId="0" fillId="4" borderId="4" xfId="0" applyFill="1" applyBorder="1"/>
    <xf numFmtId="0" fontId="0" fillId="5" borderId="4" xfId="0" applyFill="1" applyBorder="1"/>
    <xf numFmtId="0" fontId="1" fillId="0" borderId="4" xfId="1" applyBorder="1"/>
    <xf numFmtId="0" fontId="0" fillId="0" borderId="0" xfId="0" applyAlignment="1">
      <alignment horizontal="left"/>
    </xf>
    <xf numFmtId="0" fontId="2" fillId="0" borderId="0" xfId="0" applyFont="1" applyAlignment="1">
      <alignment horizontal="left"/>
    </xf>
    <xf numFmtId="0" fontId="2" fillId="0" borderId="0" xfId="0" applyFont="1" applyAlignment="1">
      <alignment horizontal="center"/>
    </xf>
    <xf numFmtId="0" fontId="3" fillId="0" borderId="0" xfId="0" applyFont="1" applyAlignment="1">
      <alignment horizontal="left"/>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1" fillId="0" borderId="4"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DEDE"/>
      <color rgb="FFFA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IDB_InputData_BSA_V1_25022026.xlsx" TargetMode="External"/><Relationship Id="rId2" Type="http://schemas.openxmlformats.org/officeDocument/2006/relationships/hyperlink" Target="IDB_InputData_BSA_V1_25022026.xlsx" TargetMode="External"/><Relationship Id="rId1" Type="http://schemas.openxmlformats.org/officeDocument/2006/relationships/hyperlink" Target="IDB_InputData_BSA_V1_25022026.xlsx" TargetMode="External"/><Relationship Id="rId6" Type="http://schemas.openxmlformats.org/officeDocument/2006/relationships/hyperlink" Target="IDB_InputData_BSA_V1_25022026.xlsx" TargetMode="External"/><Relationship Id="rId5" Type="http://schemas.openxmlformats.org/officeDocument/2006/relationships/hyperlink" Target="IDB_InputData_BSA_V1_25022026.xlsx" TargetMode="External"/><Relationship Id="rId4" Type="http://schemas.openxmlformats.org/officeDocument/2006/relationships/hyperlink" Target="IDB_InputData_BSA_V1_25022026.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egi.org.mx/app/descarga/default.html" TargetMode="External"/><Relationship Id="rId3" Type="http://schemas.openxmlformats.org/officeDocument/2006/relationships/hyperlink" Target="https://www.inegi.org.mx/app/biblioteca/ficha.html?upc=889463674641" TargetMode="External"/><Relationship Id="rId7" Type="http://schemas.openxmlformats.org/officeDocument/2006/relationships/hyperlink" Target="https://www.inegi.org.mx/app/biblioteca/ficha.html?upc=889463674641" TargetMode="External"/><Relationship Id="rId2" Type="http://schemas.openxmlformats.org/officeDocument/2006/relationships/hyperlink" Target="https://www.inegi.org.mx/app/biblioteca/ficha.html?upc=889463674641" TargetMode="External"/><Relationship Id="rId1" Type="http://schemas.openxmlformats.org/officeDocument/2006/relationships/hyperlink" Target="https://www.inegi.org.mx/app/biblioteca/ficha.html?upc=889463674641" TargetMode="External"/><Relationship Id="rId6" Type="http://schemas.openxmlformats.org/officeDocument/2006/relationships/hyperlink" Target="https://antares.inegi.org.mx/analisis/red_hidro/siatl/" TargetMode="External"/><Relationship Id="rId5" Type="http://schemas.openxmlformats.org/officeDocument/2006/relationships/hyperlink" Target="https://www.inegi.org.mx/app/biblioteca/ficha.html?upc=889463674641" TargetMode="External"/><Relationship Id="rId4" Type="http://schemas.openxmlformats.org/officeDocument/2006/relationships/hyperlink" Target="https://datos.gob.mx/busca/dataset?q=puentes&amp;theme=Infraestructura&amp;organization=estado-de-jalisco&amp;res_format=SHP&amp;sort=score+desc%2C+metadata_modified+de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C39D-792C-4F07-AE72-B70181D91BDB}">
  <dimension ref="A1:E25"/>
  <sheetViews>
    <sheetView tabSelected="1" zoomScale="90" zoomScaleNormal="90" workbookViewId="0">
      <selection activeCell="H21" sqref="H21"/>
    </sheetView>
  </sheetViews>
  <sheetFormatPr defaultColWidth="9" defaultRowHeight="14.5" x14ac:dyDescent="0.35"/>
  <cols>
    <col min="1" max="1" width="21.453125" bestFit="1" customWidth="1"/>
    <col min="2" max="2" width="37.26953125" bestFit="1" customWidth="1"/>
    <col min="3" max="3" width="19.26953125" bestFit="1" customWidth="1"/>
    <col min="4" max="4" width="26.26953125" bestFit="1" customWidth="1"/>
    <col min="5" max="5" width="30" bestFit="1" customWidth="1"/>
  </cols>
  <sheetData>
    <row r="1" spans="1:5" s="1" customFormat="1" ht="15.5" x14ac:dyDescent="0.35">
      <c r="A1" s="54" t="s">
        <v>310</v>
      </c>
      <c r="B1" s="54" t="s">
        <v>385</v>
      </c>
      <c r="C1" s="54" t="s">
        <v>31</v>
      </c>
      <c r="D1" s="54" t="s">
        <v>374</v>
      </c>
      <c r="E1" s="60" t="s">
        <v>547</v>
      </c>
    </row>
    <row r="2" spans="1:5" x14ac:dyDescent="0.35">
      <c r="A2" s="69" t="s">
        <v>311</v>
      </c>
      <c r="B2" s="70" t="s">
        <v>386</v>
      </c>
      <c r="C2" s="61" t="s">
        <v>8</v>
      </c>
      <c r="D2" s="61"/>
      <c r="E2" s="62" t="s">
        <v>9</v>
      </c>
    </row>
    <row r="3" spans="1:5" x14ac:dyDescent="0.35">
      <c r="A3" s="69"/>
      <c r="B3" s="71"/>
      <c r="C3" s="61" t="s">
        <v>77</v>
      </c>
      <c r="D3" s="61"/>
      <c r="E3" s="62" t="s">
        <v>9</v>
      </c>
    </row>
    <row r="4" spans="1:5" x14ac:dyDescent="0.35">
      <c r="A4" s="69"/>
      <c r="B4" s="71"/>
      <c r="C4" s="61" t="s">
        <v>391</v>
      </c>
      <c r="D4" s="61"/>
      <c r="E4" s="62" t="s">
        <v>9</v>
      </c>
    </row>
    <row r="5" spans="1:5" x14ac:dyDescent="0.35">
      <c r="A5" s="69"/>
      <c r="B5" s="72"/>
      <c r="C5" s="61" t="s">
        <v>23</v>
      </c>
      <c r="D5" s="61"/>
      <c r="E5" s="62" t="s">
        <v>9</v>
      </c>
    </row>
    <row r="6" spans="1:5" x14ac:dyDescent="0.35">
      <c r="A6" s="69"/>
      <c r="B6" s="70" t="s">
        <v>390</v>
      </c>
      <c r="C6" s="61" t="s">
        <v>79</v>
      </c>
      <c r="D6" s="61"/>
      <c r="E6" s="62" t="s">
        <v>9</v>
      </c>
    </row>
    <row r="7" spans="1:5" x14ac:dyDescent="0.35">
      <c r="A7" s="69"/>
      <c r="B7" s="71"/>
      <c r="C7" s="61" t="s">
        <v>17</v>
      </c>
      <c r="D7" s="61"/>
      <c r="E7" s="62" t="s">
        <v>9</v>
      </c>
    </row>
    <row r="8" spans="1:5" x14ac:dyDescent="0.35">
      <c r="A8" s="69"/>
      <c r="B8" s="72"/>
      <c r="C8" s="61" t="s">
        <v>125</v>
      </c>
      <c r="D8" s="61"/>
      <c r="E8" s="62" t="s">
        <v>9</v>
      </c>
    </row>
    <row r="9" spans="1:5" x14ac:dyDescent="0.35">
      <c r="A9" s="69"/>
      <c r="B9" s="39" t="s">
        <v>387</v>
      </c>
      <c r="C9" s="61" t="s">
        <v>29</v>
      </c>
      <c r="D9" s="61"/>
      <c r="E9" s="62" t="s">
        <v>9</v>
      </c>
    </row>
    <row r="10" spans="1:5" x14ac:dyDescent="0.35">
      <c r="A10" s="69"/>
      <c r="B10" s="70" t="s">
        <v>307</v>
      </c>
      <c r="C10" s="61" t="s">
        <v>20</v>
      </c>
      <c r="D10" s="61"/>
      <c r="E10" s="63" t="s">
        <v>12</v>
      </c>
    </row>
    <row r="11" spans="1:5" x14ac:dyDescent="0.35">
      <c r="A11" s="69"/>
      <c r="B11" s="71"/>
      <c r="C11" s="61" t="s">
        <v>132</v>
      </c>
      <c r="D11" s="61"/>
      <c r="E11" s="63" t="s">
        <v>12</v>
      </c>
    </row>
    <row r="12" spans="1:5" x14ac:dyDescent="0.35">
      <c r="A12" s="69"/>
      <c r="B12" s="71"/>
      <c r="C12" s="61" t="s">
        <v>133</v>
      </c>
      <c r="D12" s="61"/>
      <c r="E12" s="63" t="s">
        <v>12</v>
      </c>
    </row>
    <row r="13" spans="1:5" x14ac:dyDescent="0.35">
      <c r="A13" s="69"/>
      <c r="B13" s="71"/>
      <c r="C13" s="61" t="s">
        <v>26</v>
      </c>
      <c r="D13" s="61"/>
      <c r="E13" s="63" t="s">
        <v>12</v>
      </c>
    </row>
    <row r="14" spans="1:5" x14ac:dyDescent="0.35">
      <c r="A14" s="69"/>
      <c r="B14" s="71"/>
      <c r="C14" s="61" t="s">
        <v>27</v>
      </c>
      <c r="D14" s="61"/>
      <c r="E14" s="63" t="s">
        <v>12</v>
      </c>
    </row>
    <row r="15" spans="1:5" x14ac:dyDescent="0.35">
      <c r="A15" s="69"/>
      <c r="B15" s="72"/>
      <c r="C15" s="61" t="s">
        <v>28</v>
      </c>
      <c r="D15" s="61"/>
      <c r="E15" s="63" t="s">
        <v>12</v>
      </c>
    </row>
    <row r="16" spans="1:5" x14ac:dyDescent="0.35">
      <c r="A16" s="69" t="s">
        <v>312</v>
      </c>
      <c r="B16" s="39" t="s">
        <v>388</v>
      </c>
      <c r="C16" s="64" t="s">
        <v>322</v>
      </c>
      <c r="D16" s="64"/>
      <c r="E16" s="62" t="s">
        <v>332</v>
      </c>
    </row>
    <row r="17" spans="1:5" x14ac:dyDescent="0.35">
      <c r="A17" s="69"/>
      <c r="B17" s="39" t="s">
        <v>389</v>
      </c>
      <c r="C17" s="64" t="s">
        <v>323</v>
      </c>
      <c r="D17" s="64"/>
      <c r="E17" s="62" t="s">
        <v>332</v>
      </c>
    </row>
    <row r="18" spans="1:5" x14ac:dyDescent="0.35">
      <c r="A18" s="69" t="s">
        <v>333</v>
      </c>
      <c r="B18" s="39" t="s">
        <v>558</v>
      </c>
      <c r="C18" s="64" t="s">
        <v>334</v>
      </c>
      <c r="D18" s="64"/>
      <c r="E18" s="62" t="s">
        <v>332</v>
      </c>
    </row>
    <row r="19" spans="1:5" x14ac:dyDescent="0.35">
      <c r="A19" s="69"/>
      <c r="B19" s="39" t="s">
        <v>363</v>
      </c>
      <c r="C19" s="64" t="s">
        <v>335</v>
      </c>
      <c r="D19" s="64"/>
      <c r="E19" s="62" t="s">
        <v>332</v>
      </c>
    </row>
    <row r="20" spans="1:5" x14ac:dyDescent="0.35">
      <c r="A20" s="73" t="s">
        <v>313</v>
      </c>
      <c r="B20" s="39" t="s">
        <v>380</v>
      </c>
      <c r="C20" s="55"/>
      <c r="D20" s="55" t="s">
        <v>375</v>
      </c>
      <c r="E20" s="62" t="s">
        <v>9</v>
      </c>
    </row>
    <row r="21" spans="1:5" x14ac:dyDescent="0.35">
      <c r="A21" s="73"/>
      <c r="B21" s="39" t="s">
        <v>381</v>
      </c>
      <c r="C21" s="55"/>
      <c r="D21" s="55" t="s">
        <v>376</v>
      </c>
      <c r="E21" s="62" t="s">
        <v>9</v>
      </c>
    </row>
    <row r="22" spans="1:5" x14ac:dyDescent="0.35">
      <c r="A22" s="73"/>
      <c r="B22" s="39" t="s">
        <v>382</v>
      </c>
      <c r="C22" s="55"/>
      <c r="D22" s="55" t="s">
        <v>377</v>
      </c>
      <c r="E22" s="62" t="s">
        <v>9</v>
      </c>
    </row>
    <row r="23" spans="1:5" x14ac:dyDescent="0.35">
      <c r="A23" s="73"/>
      <c r="B23" s="39" t="s">
        <v>383</v>
      </c>
      <c r="C23" s="55"/>
      <c r="D23" s="55" t="s">
        <v>378</v>
      </c>
      <c r="E23" s="62" t="s">
        <v>9</v>
      </c>
    </row>
    <row r="24" spans="1:5" x14ac:dyDescent="0.35">
      <c r="A24" s="73"/>
      <c r="B24" s="39" t="s">
        <v>384</v>
      </c>
      <c r="C24" s="55"/>
      <c r="D24" s="55" t="s">
        <v>379</v>
      </c>
      <c r="E24" s="63" t="s">
        <v>12</v>
      </c>
    </row>
    <row r="25" spans="1:5" x14ac:dyDescent="0.35">
      <c r="A25" s="73"/>
      <c r="B25" s="39" t="s">
        <v>384</v>
      </c>
      <c r="C25" s="64" t="s">
        <v>516</v>
      </c>
      <c r="D25" s="55"/>
      <c r="E25" s="63" t="s">
        <v>12</v>
      </c>
    </row>
  </sheetData>
  <autoFilter ref="C1:E1" xr:uid="{FDB6C39D-792C-4F07-AE72-B70181D91BDB}"/>
  <mergeCells count="7">
    <mergeCell ref="A20:A25"/>
    <mergeCell ref="A2:A15"/>
    <mergeCell ref="A16:A17"/>
    <mergeCell ref="A18:A19"/>
    <mergeCell ref="B10:B15"/>
    <mergeCell ref="B2:B5"/>
    <mergeCell ref="B6:B8"/>
  </mergeCells>
  <phoneticPr fontId="4" type="noConversion"/>
  <hyperlinks>
    <hyperlink ref="C2" location="Puentes!A1" display="Puentes " xr:uid="{38E9BDFC-D9AD-4E9D-8CD1-4C90C6531AB3}"/>
    <hyperlink ref="C3" location="Nombre_Corredores!A1" display="Nombre_Corredores" xr:uid="{34A0C83D-B6D5-4313-B2E1-AFE6F6A1DFF3}"/>
    <hyperlink ref="C6" location="Estado_Calzada!A1" display="Estado_Calzada" xr:uid="{0734CB42-A5ED-4D47-83D4-9DE807A0B4E5}"/>
    <hyperlink ref="C7" location="Fallas_Pavimento!A1" display="Fallas_pavimentos" xr:uid="{F60098FA-798E-4487-BFFA-282C376CE562}"/>
    <hyperlink ref="C8" location="Nivel_Servicio!A1" display="Nivel_Servicio" xr:uid="{F5102227-4E0F-462F-8885-7281240876D6}"/>
    <hyperlink ref="C9" location="TPDA!A1" display="TPDa" xr:uid="{F4EF40D2-A26A-4518-90CA-99B6FCB26819}"/>
    <hyperlink ref="C11" location="Puertos!A1" display="Puertos " xr:uid="{05A7A3AE-B2F4-468E-B955-8CE8DD177FED}"/>
    <hyperlink ref="C12" location="Aeropuertos!A1" display="aeropuertos " xr:uid="{3B649155-492C-42E7-B754-3522FEDE59E7}"/>
    <hyperlink ref="C10" location="Pasos_Fronterizos!A1" display="Pasos_Fronterizos" xr:uid="{AAE40D10-91A4-46A5-8904-8EC48144C1C0}"/>
    <hyperlink ref="C5" location="Red_Carretera!A1" display="Red_Carretera" xr:uid="{883D572F-9F7A-416C-86F7-E92279FDD624}"/>
    <hyperlink ref="C13" location="Nodos_Produccion!A1" display="Nodos_Produccion" xr:uid="{D09BF61A-7FD9-4E40-937C-F76FCC175F09}"/>
    <hyperlink ref="C14" location="Nodos_Exportacion!A1" display="Nodos_Exportacion" xr:uid="{781B71A8-46C8-427D-9714-5936C57A8ACD}"/>
    <hyperlink ref="C15" location="Cadenas_Logisticas!A1" display="Cadenas_Logisticas" xr:uid="{5B85F7ED-ACF0-430B-B38D-B9437085DEED}"/>
    <hyperlink ref="C16" r:id="rId1" location="Tiempo_rehab!A1" xr:uid="{CC111C7F-9CA5-4859-B460-FA5BCCB6B7FB}"/>
    <hyperlink ref="C17" r:id="rId2" location="Funciones_Dano!A1" xr:uid="{C1C139B2-9B45-40D6-95C6-F66E38DC2478}"/>
    <hyperlink ref="C18" r:id="rId3" location="GDP_Capita!A1" xr:uid="{C8467D1B-BE5A-4667-B255-0590656235A6}"/>
    <hyperlink ref="C19" r:id="rId4" location="Op_Cost!A1" xr:uid="{18CAF4B1-79C8-46AD-AA1B-7E31882C0966}"/>
    <hyperlink ref="A20:A25" r:id="rId5" location="Hazard!A1" display="Hazard" xr:uid="{88F24C95-8008-4EF1-8D84-6CF5531CC182}"/>
    <hyperlink ref="C25" r:id="rId6" location="Zona_Clima_CC!A1" xr:uid="{63034066-ECDC-4D2E-833D-71D8052A10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28B8-B583-4632-819F-BE679FF150AE}">
  <dimension ref="A1:L29"/>
  <sheetViews>
    <sheetView zoomScale="120" zoomScaleNormal="120" workbookViewId="0">
      <selection activeCell="D23" sqref="D23"/>
    </sheetView>
  </sheetViews>
  <sheetFormatPr defaultColWidth="9" defaultRowHeight="14.5" x14ac:dyDescent="0.35"/>
  <cols>
    <col min="1" max="1" width="43.453125" bestFit="1" customWidth="1"/>
    <col min="2" max="2" width="12.26953125" bestFit="1" customWidth="1"/>
    <col min="3" max="3" width="59.453125" bestFit="1" customWidth="1"/>
    <col min="4" max="4" width="137.7265625" bestFit="1" customWidth="1"/>
    <col min="5" max="5" width="30" bestFit="1" customWidth="1"/>
    <col min="6" max="6" width="32" bestFit="1" customWidth="1"/>
    <col min="7" max="7" width="20" customWidth="1"/>
    <col min="8" max="8" width="17.453125" customWidth="1"/>
    <col min="9" max="9" width="15.26953125" bestFit="1" customWidth="1"/>
    <col min="10" max="10" width="13.26953125" bestFit="1" customWidth="1"/>
    <col min="11" max="11" width="11.26953125" bestFit="1" customWidth="1"/>
    <col min="12" max="12" width="61" bestFit="1" customWidth="1"/>
  </cols>
  <sheetData>
    <row r="1" spans="1:12" s="1" customFormat="1" ht="15.5" x14ac:dyDescent="0.35">
      <c r="A1" s="2" t="s">
        <v>31</v>
      </c>
      <c r="B1" s="2" t="s">
        <v>306</v>
      </c>
      <c r="C1" s="2" t="s">
        <v>298</v>
      </c>
      <c r="D1" s="2" t="s">
        <v>305</v>
      </c>
      <c r="E1" s="10" t="s">
        <v>0</v>
      </c>
      <c r="F1" s="11" t="s">
        <v>1</v>
      </c>
      <c r="G1" s="2" t="s">
        <v>2</v>
      </c>
      <c r="H1" s="2" t="s">
        <v>3</v>
      </c>
      <c r="I1" s="2" t="s">
        <v>4</v>
      </c>
      <c r="J1" s="2" t="s">
        <v>5</v>
      </c>
      <c r="K1" s="2" t="s">
        <v>6</v>
      </c>
      <c r="L1" s="2" t="s">
        <v>7</v>
      </c>
    </row>
    <row r="2" spans="1:12" x14ac:dyDescent="0.35">
      <c r="A2" s="13" t="s">
        <v>8</v>
      </c>
      <c r="B2" s="53" t="s">
        <v>297</v>
      </c>
      <c r="C2" s="13" t="s">
        <v>299</v>
      </c>
      <c r="D2" s="13" t="s">
        <v>300</v>
      </c>
      <c r="E2" s="12" t="s">
        <v>9</v>
      </c>
      <c r="F2" s="3"/>
      <c r="G2" s="3"/>
      <c r="H2" s="3"/>
      <c r="I2" s="3"/>
      <c r="J2" s="3"/>
      <c r="K2" s="6" t="s">
        <v>9</v>
      </c>
      <c r="L2" s="8" t="s">
        <v>10</v>
      </c>
    </row>
    <row r="3" spans="1:12" x14ac:dyDescent="0.35">
      <c r="A3" s="13" t="s">
        <v>76</v>
      </c>
      <c r="B3" s="53" t="s">
        <v>297</v>
      </c>
      <c r="C3" s="53"/>
      <c r="D3" s="53"/>
      <c r="E3" s="6" t="s">
        <v>9</v>
      </c>
      <c r="F3" s="3"/>
      <c r="G3" s="3"/>
      <c r="H3" s="3"/>
      <c r="I3" s="3"/>
      <c r="J3" s="3"/>
      <c r="K3" s="6" t="s">
        <v>9</v>
      </c>
      <c r="L3" s="8" t="s">
        <v>10</v>
      </c>
    </row>
    <row r="4" spans="1:12" x14ac:dyDescent="0.35">
      <c r="A4" s="13" t="s">
        <v>77</v>
      </c>
      <c r="B4" s="53" t="s">
        <v>297</v>
      </c>
      <c r="C4" s="13" t="s">
        <v>299</v>
      </c>
      <c r="D4" s="13"/>
      <c r="E4" s="6" t="s">
        <v>9</v>
      </c>
      <c r="F4" s="7" t="s">
        <v>12</v>
      </c>
      <c r="G4" s="7" t="s">
        <v>12</v>
      </c>
      <c r="H4" s="7" t="s">
        <v>12</v>
      </c>
      <c r="I4" s="7" t="s">
        <v>12</v>
      </c>
      <c r="J4" s="6" t="s">
        <v>9</v>
      </c>
      <c r="K4" s="6" t="s">
        <v>9</v>
      </c>
      <c r="L4" s="8" t="s">
        <v>10</v>
      </c>
    </row>
    <row r="5" spans="1:12" x14ac:dyDescent="0.35">
      <c r="A5" s="13" t="s">
        <v>79</v>
      </c>
      <c r="B5" s="53" t="s">
        <v>297</v>
      </c>
      <c r="C5" s="13" t="s">
        <v>299</v>
      </c>
      <c r="D5" s="13"/>
      <c r="E5" s="6" t="s">
        <v>9</v>
      </c>
      <c r="F5" s="7" t="s">
        <v>12</v>
      </c>
      <c r="G5" s="7" t="s">
        <v>12</v>
      </c>
      <c r="H5" s="7" t="s">
        <v>12</v>
      </c>
      <c r="I5" s="7" t="s">
        <v>12</v>
      </c>
      <c r="J5" s="7" t="s">
        <v>12</v>
      </c>
      <c r="K5" s="6" t="s">
        <v>9</v>
      </c>
      <c r="L5" s="8" t="s">
        <v>10</v>
      </c>
    </row>
    <row r="6" spans="1:12" x14ac:dyDescent="0.35">
      <c r="A6" s="13" t="s">
        <v>17</v>
      </c>
      <c r="B6" s="53" t="s">
        <v>296</v>
      </c>
      <c r="C6" s="53"/>
      <c r="D6" s="53"/>
      <c r="E6" s="6" t="s">
        <v>9</v>
      </c>
      <c r="F6" s="3"/>
      <c r="G6" s="3"/>
      <c r="H6" s="3"/>
      <c r="I6" s="3"/>
      <c r="J6" s="3"/>
      <c r="K6" s="3"/>
      <c r="L6" s="8" t="s">
        <v>10</v>
      </c>
    </row>
    <row r="7" spans="1:12" x14ac:dyDescent="0.35">
      <c r="A7" s="13" t="s">
        <v>18</v>
      </c>
      <c r="B7" s="53" t="s">
        <v>296</v>
      </c>
      <c r="C7" s="53"/>
      <c r="D7" s="53"/>
      <c r="E7" s="6" t="s">
        <v>9</v>
      </c>
      <c r="F7" s="3"/>
      <c r="G7" s="3"/>
      <c r="H7" s="3"/>
      <c r="I7" s="3"/>
      <c r="J7" s="3"/>
      <c r="K7" s="6" t="s">
        <v>9</v>
      </c>
      <c r="L7" s="8" t="s">
        <v>10</v>
      </c>
    </row>
    <row r="8" spans="1:12" x14ac:dyDescent="0.35">
      <c r="A8" s="13" t="s">
        <v>125</v>
      </c>
      <c r="B8" s="53" t="s">
        <v>297</v>
      </c>
      <c r="C8" s="53"/>
      <c r="D8" s="53"/>
      <c r="E8" s="6" t="s">
        <v>9</v>
      </c>
      <c r="F8" s="7" t="s">
        <v>12</v>
      </c>
      <c r="G8" s="7" t="s">
        <v>12</v>
      </c>
      <c r="H8" s="7" t="s">
        <v>12</v>
      </c>
      <c r="I8" s="7" t="s">
        <v>12</v>
      </c>
      <c r="J8" s="7" t="s">
        <v>12</v>
      </c>
      <c r="K8" s="6" t="s">
        <v>9</v>
      </c>
      <c r="L8" s="8" t="s">
        <v>10</v>
      </c>
    </row>
    <row r="9" spans="1:12" x14ac:dyDescent="0.35">
      <c r="A9" s="13" t="s">
        <v>130</v>
      </c>
      <c r="B9" s="53" t="s">
        <v>297</v>
      </c>
      <c r="C9" s="13" t="s">
        <v>299</v>
      </c>
      <c r="D9" s="13"/>
      <c r="E9" s="6" t="s">
        <v>9</v>
      </c>
      <c r="F9" s="3"/>
      <c r="G9" s="3"/>
      <c r="H9" s="3"/>
      <c r="I9" s="3"/>
      <c r="J9" s="3"/>
      <c r="K9" s="6" t="s">
        <v>9</v>
      </c>
      <c r="L9" s="8" t="s">
        <v>10</v>
      </c>
    </row>
    <row r="10" spans="1:12" x14ac:dyDescent="0.35">
      <c r="A10" s="13" t="s">
        <v>29</v>
      </c>
      <c r="B10" s="53" t="s">
        <v>297</v>
      </c>
      <c r="C10" s="53"/>
      <c r="D10" s="53"/>
      <c r="E10" s="6" t="s">
        <v>9</v>
      </c>
      <c r="F10" s="7" t="s">
        <v>12</v>
      </c>
      <c r="G10" s="7" t="s">
        <v>12</v>
      </c>
      <c r="H10" s="7" t="s">
        <v>12</v>
      </c>
      <c r="I10" s="7" t="s">
        <v>12</v>
      </c>
      <c r="J10" s="7" t="s">
        <v>12</v>
      </c>
      <c r="K10" s="6" t="s">
        <v>9</v>
      </c>
      <c r="L10" s="8" t="s">
        <v>10</v>
      </c>
    </row>
    <row r="11" spans="1:12" x14ac:dyDescent="0.35">
      <c r="A11" s="13" t="s">
        <v>132</v>
      </c>
      <c r="B11" s="53" t="s">
        <v>297</v>
      </c>
      <c r="C11" s="53" t="s">
        <v>301</v>
      </c>
      <c r="D11" s="53"/>
      <c r="E11" s="5" t="s">
        <v>13</v>
      </c>
      <c r="F11" s="7" t="s">
        <v>12</v>
      </c>
      <c r="G11" s="7" t="s">
        <v>12</v>
      </c>
      <c r="H11" s="7" t="s">
        <v>12</v>
      </c>
      <c r="I11" s="7" t="s">
        <v>12</v>
      </c>
      <c r="J11" s="7" t="s">
        <v>12</v>
      </c>
      <c r="K11" s="6" t="s">
        <v>9</v>
      </c>
      <c r="L11" s="4" t="s">
        <v>11</v>
      </c>
    </row>
    <row r="12" spans="1:12" x14ac:dyDescent="0.35">
      <c r="A12" s="13" t="s">
        <v>133</v>
      </c>
      <c r="B12" s="53" t="s">
        <v>297</v>
      </c>
      <c r="C12" s="53" t="s">
        <v>301</v>
      </c>
      <c r="D12" s="53"/>
      <c r="E12" s="5" t="s">
        <v>13</v>
      </c>
      <c r="F12" s="7" t="s">
        <v>12</v>
      </c>
      <c r="G12" s="7" t="s">
        <v>12</v>
      </c>
      <c r="H12" s="7" t="s">
        <v>12</v>
      </c>
      <c r="I12" s="7" t="s">
        <v>12</v>
      </c>
      <c r="J12" s="7" t="s">
        <v>12</v>
      </c>
      <c r="K12" s="6" t="s">
        <v>9</v>
      </c>
      <c r="L12" s="4" t="s">
        <v>11</v>
      </c>
    </row>
    <row r="13" spans="1:12" x14ac:dyDescent="0.35">
      <c r="A13" s="13" t="s">
        <v>20</v>
      </c>
      <c r="B13" s="53" t="s">
        <v>297</v>
      </c>
      <c r="C13" s="53" t="s">
        <v>301</v>
      </c>
      <c r="D13" s="53"/>
      <c r="E13" s="5" t="s">
        <v>13</v>
      </c>
      <c r="F13" s="7" t="s">
        <v>12</v>
      </c>
      <c r="G13" s="7" t="s">
        <v>12</v>
      </c>
      <c r="H13" s="7" t="s">
        <v>12</v>
      </c>
      <c r="I13" s="7" t="s">
        <v>12</v>
      </c>
      <c r="J13" s="6" t="s">
        <v>9</v>
      </c>
      <c r="K13" s="6" t="s">
        <v>9</v>
      </c>
      <c r="L13" s="4" t="s">
        <v>11</v>
      </c>
    </row>
    <row r="14" spans="1:12" x14ac:dyDescent="0.35">
      <c r="A14" s="13" t="s">
        <v>21</v>
      </c>
      <c r="B14" s="53" t="s">
        <v>296</v>
      </c>
      <c r="C14" s="53"/>
      <c r="D14" s="53"/>
      <c r="E14" s="5" t="s">
        <v>13</v>
      </c>
      <c r="F14" s="7" t="s">
        <v>12</v>
      </c>
      <c r="G14" s="7" t="s">
        <v>12</v>
      </c>
      <c r="H14" s="7" t="s">
        <v>12</v>
      </c>
      <c r="I14" s="7" t="s">
        <v>12</v>
      </c>
      <c r="J14" s="6" t="s">
        <v>9</v>
      </c>
      <c r="K14" s="6" t="s">
        <v>9</v>
      </c>
      <c r="L14" s="4" t="s">
        <v>11</v>
      </c>
    </row>
    <row r="15" spans="1:12" x14ac:dyDescent="0.35">
      <c r="A15" s="13" t="s">
        <v>22</v>
      </c>
      <c r="B15" s="53" t="s">
        <v>297</v>
      </c>
      <c r="C15" s="13" t="s">
        <v>302</v>
      </c>
      <c r="D15" s="13"/>
      <c r="E15" s="5" t="s">
        <v>13</v>
      </c>
      <c r="F15" s="7" t="s">
        <v>12</v>
      </c>
      <c r="G15" s="7" t="s">
        <v>12</v>
      </c>
      <c r="H15" s="7" t="s">
        <v>12</v>
      </c>
      <c r="I15" s="7" t="s">
        <v>12</v>
      </c>
      <c r="J15" s="7" t="s">
        <v>12</v>
      </c>
      <c r="K15" s="6" t="s">
        <v>9</v>
      </c>
      <c r="L15" s="4" t="s">
        <v>11</v>
      </c>
    </row>
    <row r="16" spans="1:12" x14ac:dyDescent="0.35">
      <c r="A16" s="13" t="s">
        <v>23</v>
      </c>
      <c r="B16" s="53" t="s">
        <v>297</v>
      </c>
      <c r="C16" s="53" t="s">
        <v>302</v>
      </c>
      <c r="D16" s="13" t="s">
        <v>299</v>
      </c>
      <c r="E16" s="5" t="s">
        <v>13</v>
      </c>
      <c r="F16" s="7" t="s">
        <v>12</v>
      </c>
      <c r="G16" s="7" t="s">
        <v>12</v>
      </c>
      <c r="H16" s="7" t="s">
        <v>12</v>
      </c>
      <c r="I16" s="7" t="s">
        <v>12</v>
      </c>
      <c r="J16" s="7" t="s">
        <v>12</v>
      </c>
      <c r="K16" s="6" t="s">
        <v>9</v>
      </c>
      <c r="L16" s="4" t="s">
        <v>11</v>
      </c>
    </row>
    <row r="17" spans="1:12" x14ac:dyDescent="0.35">
      <c r="A17" s="13" t="s">
        <v>134</v>
      </c>
      <c r="B17" s="53" t="s">
        <v>297</v>
      </c>
      <c r="C17" s="53" t="s">
        <v>301</v>
      </c>
      <c r="D17" s="53"/>
      <c r="E17" s="5" t="s">
        <v>14</v>
      </c>
      <c r="F17" s="7" t="s">
        <v>12</v>
      </c>
      <c r="G17" s="7" t="s">
        <v>12</v>
      </c>
      <c r="H17" s="7" t="s">
        <v>12</v>
      </c>
      <c r="I17" s="7" t="s">
        <v>12</v>
      </c>
      <c r="J17" s="7" t="s">
        <v>12</v>
      </c>
      <c r="K17" s="6" t="s">
        <v>9</v>
      </c>
      <c r="L17" s="4" t="s">
        <v>11</v>
      </c>
    </row>
    <row r="18" spans="1:12" x14ac:dyDescent="0.35">
      <c r="A18" s="13" t="s">
        <v>24</v>
      </c>
      <c r="B18" s="53" t="s">
        <v>296</v>
      </c>
      <c r="C18" s="53"/>
      <c r="D18" s="53"/>
      <c r="E18" s="5" t="s">
        <v>14</v>
      </c>
      <c r="F18" s="7" t="s">
        <v>12</v>
      </c>
      <c r="G18" s="7" t="s">
        <v>12</v>
      </c>
      <c r="H18" s="7" t="s">
        <v>12</v>
      </c>
      <c r="I18" s="7" t="s">
        <v>12</v>
      </c>
      <c r="J18" s="7" t="s">
        <v>12</v>
      </c>
      <c r="K18" s="6" t="s">
        <v>9</v>
      </c>
      <c r="L18" s="4" t="s">
        <v>11</v>
      </c>
    </row>
    <row r="19" spans="1:12" x14ac:dyDescent="0.35">
      <c r="A19" s="13" t="s">
        <v>25</v>
      </c>
      <c r="B19" s="53" t="s">
        <v>297</v>
      </c>
      <c r="C19" s="53" t="s">
        <v>303</v>
      </c>
      <c r="D19" s="53"/>
      <c r="E19" s="5" t="s">
        <v>14</v>
      </c>
      <c r="F19" s="7" t="s">
        <v>12</v>
      </c>
      <c r="G19" s="7" t="s">
        <v>12</v>
      </c>
      <c r="H19" s="7" t="s">
        <v>12</v>
      </c>
      <c r="I19" s="7" t="s">
        <v>12</v>
      </c>
      <c r="J19" s="7" t="s">
        <v>12</v>
      </c>
      <c r="K19" s="6" t="s">
        <v>9</v>
      </c>
      <c r="L19" s="4" t="s">
        <v>11</v>
      </c>
    </row>
    <row r="20" spans="1:12" x14ac:dyDescent="0.35">
      <c r="A20" s="13" t="s">
        <v>26</v>
      </c>
      <c r="B20" s="53" t="s">
        <v>296</v>
      </c>
      <c r="C20" s="53"/>
      <c r="D20" s="53"/>
      <c r="E20" s="7" t="s">
        <v>12</v>
      </c>
      <c r="F20" s="6" t="s">
        <v>9</v>
      </c>
      <c r="G20" s="7" t="s">
        <v>12</v>
      </c>
      <c r="H20" s="7" t="s">
        <v>12</v>
      </c>
      <c r="I20" s="7" t="s">
        <v>12</v>
      </c>
      <c r="J20" s="7" t="s">
        <v>12</v>
      </c>
      <c r="K20" s="6" t="s">
        <v>9</v>
      </c>
      <c r="L20" s="8" t="s">
        <v>10</v>
      </c>
    </row>
    <row r="21" spans="1:12" x14ac:dyDescent="0.35">
      <c r="A21" s="13" t="s">
        <v>27</v>
      </c>
      <c r="B21" s="53" t="s">
        <v>296</v>
      </c>
      <c r="C21" s="53"/>
      <c r="D21" s="53"/>
      <c r="E21" s="7" t="s">
        <v>12</v>
      </c>
      <c r="F21" s="6" t="s">
        <v>9</v>
      </c>
      <c r="G21" s="7" t="s">
        <v>12</v>
      </c>
      <c r="H21" s="7" t="s">
        <v>12</v>
      </c>
      <c r="I21" s="7" t="s">
        <v>12</v>
      </c>
      <c r="J21" s="7" t="s">
        <v>12</v>
      </c>
      <c r="K21" s="6" t="s">
        <v>9</v>
      </c>
      <c r="L21" s="8" t="s">
        <v>10</v>
      </c>
    </row>
    <row r="22" spans="1:12" x14ac:dyDescent="0.35">
      <c r="A22" s="13" t="s">
        <v>28</v>
      </c>
      <c r="B22" s="53" t="s">
        <v>296</v>
      </c>
      <c r="C22" s="53"/>
      <c r="D22" s="53"/>
      <c r="E22" s="3"/>
      <c r="F22" s="6" t="s">
        <v>9</v>
      </c>
      <c r="G22" s="3"/>
      <c r="H22" s="3"/>
      <c r="I22" s="3"/>
      <c r="J22" s="3"/>
      <c r="K22" s="6" t="s">
        <v>9</v>
      </c>
      <c r="L22" s="8" t="s">
        <v>10</v>
      </c>
    </row>
    <row r="23" spans="1:12" x14ac:dyDescent="0.35">
      <c r="A23" s="13" t="s">
        <v>30</v>
      </c>
      <c r="B23" s="53" t="s">
        <v>297</v>
      </c>
      <c r="C23" s="53" t="s">
        <v>301</v>
      </c>
      <c r="D23" s="53"/>
      <c r="E23" s="7" t="s">
        <v>12</v>
      </c>
      <c r="F23" s="7" t="s">
        <v>12</v>
      </c>
      <c r="G23" s="6" t="s">
        <v>9</v>
      </c>
      <c r="H23" s="7" t="s">
        <v>12</v>
      </c>
      <c r="I23" s="7" t="s">
        <v>12</v>
      </c>
      <c r="J23" s="7" t="s">
        <v>12</v>
      </c>
      <c r="K23" s="6" t="s">
        <v>9</v>
      </c>
      <c r="L23" s="4" t="s">
        <v>11</v>
      </c>
    </row>
    <row r="24" spans="1:12" x14ac:dyDescent="0.35">
      <c r="A24" s="13" t="s">
        <v>32</v>
      </c>
      <c r="B24" s="53" t="s">
        <v>297</v>
      </c>
      <c r="C24" s="53" t="s">
        <v>301</v>
      </c>
      <c r="D24" s="53"/>
      <c r="E24" s="7" t="s">
        <v>12</v>
      </c>
      <c r="F24" s="7" t="s">
        <v>12</v>
      </c>
      <c r="G24" s="6" t="s">
        <v>9</v>
      </c>
      <c r="H24" s="7" t="s">
        <v>12</v>
      </c>
      <c r="I24" s="7" t="s">
        <v>12</v>
      </c>
      <c r="J24" s="7" t="s">
        <v>12</v>
      </c>
      <c r="K24" s="6" t="s">
        <v>9</v>
      </c>
      <c r="L24" s="4" t="s">
        <v>11</v>
      </c>
    </row>
    <row r="25" spans="1:12" x14ac:dyDescent="0.35">
      <c r="A25" s="13" t="s">
        <v>34</v>
      </c>
      <c r="B25" s="53" t="s">
        <v>296</v>
      </c>
      <c r="C25" s="53"/>
      <c r="D25" s="53"/>
      <c r="E25" s="7" t="s">
        <v>12</v>
      </c>
      <c r="F25" s="7" t="s">
        <v>12</v>
      </c>
      <c r="G25" s="7" t="s">
        <v>12</v>
      </c>
      <c r="H25" s="6" t="s">
        <v>9</v>
      </c>
      <c r="I25" s="7" t="s">
        <v>12</v>
      </c>
      <c r="J25" s="7" t="s">
        <v>12</v>
      </c>
      <c r="K25" s="6" t="s">
        <v>9</v>
      </c>
      <c r="L25" s="4" t="s">
        <v>11</v>
      </c>
    </row>
    <row r="26" spans="1:12" x14ac:dyDescent="0.35">
      <c r="A26" s="13" t="s">
        <v>35</v>
      </c>
      <c r="B26" s="53" t="s">
        <v>296</v>
      </c>
      <c r="C26" s="53"/>
      <c r="D26" s="53"/>
      <c r="E26" s="7" t="s">
        <v>12</v>
      </c>
      <c r="F26" s="7" t="s">
        <v>12</v>
      </c>
      <c r="G26" s="7" t="s">
        <v>12</v>
      </c>
      <c r="H26" s="6" t="s">
        <v>9</v>
      </c>
      <c r="I26" s="7" t="s">
        <v>12</v>
      </c>
      <c r="J26" s="7" t="s">
        <v>12</v>
      </c>
      <c r="K26" s="6" t="s">
        <v>9</v>
      </c>
      <c r="L26" s="9" t="s">
        <v>15</v>
      </c>
    </row>
    <row r="27" spans="1:12" x14ac:dyDescent="0.35">
      <c r="A27" s="13" t="s">
        <v>36</v>
      </c>
      <c r="B27" s="53" t="s">
        <v>296</v>
      </c>
      <c r="C27" s="53"/>
      <c r="D27" s="53"/>
      <c r="E27" s="7" t="s">
        <v>12</v>
      </c>
      <c r="F27" s="7" t="s">
        <v>12</v>
      </c>
      <c r="G27" s="7" t="s">
        <v>12</v>
      </c>
      <c r="H27" s="6" t="s">
        <v>9</v>
      </c>
      <c r="I27" s="7" t="s">
        <v>12</v>
      </c>
      <c r="J27" s="7" t="s">
        <v>12</v>
      </c>
      <c r="K27" s="6" t="s">
        <v>9</v>
      </c>
      <c r="L27" s="9" t="s">
        <v>15</v>
      </c>
    </row>
    <row r="28" spans="1:12" x14ac:dyDescent="0.35">
      <c r="A28" s="13" t="s">
        <v>33</v>
      </c>
      <c r="B28" s="53" t="s">
        <v>297</v>
      </c>
      <c r="C28" s="53" t="s">
        <v>301</v>
      </c>
      <c r="D28" s="53"/>
      <c r="E28" s="7" t="s">
        <v>12</v>
      </c>
      <c r="F28" s="7" t="s">
        <v>12</v>
      </c>
      <c r="G28" s="7" t="s">
        <v>12</v>
      </c>
      <c r="H28" s="7" t="s">
        <v>12</v>
      </c>
      <c r="I28" s="6" t="s">
        <v>9</v>
      </c>
      <c r="J28" s="7" t="s">
        <v>12</v>
      </c>
      <c r="K28" s="6" t="s">
        <v>9</v>
      </c>
      <c r="L28" s="4" t="s">
        <v>11</v>
      </c>
    </row>
    <row r="29" spans="1:12" x14ac:dyDescent="0.35">
      <c r="A29" s="13" t="s">
        <v>16</v>
      </c>
      <c r="B29" s="53" t="s">
        <v>297</v>
      </c>
      <c r="C29" s="13" t="s">
        <v>304</v>
      </c>
      <c r="D29" s="53"/>
      <c r="E29" s="7" t="s">
        <v>12</v>
      </c>
      <c r="F29" s="7" t="s">
        <v>12</v>
      </c>
      <c r="G29" s="7" t="s">
        <v>12</v>
      </c>
      <c r="H29" s="7" t="s">
        <v>12</v>
      </c>
      <c r="I29" s="7" t="s">
        <v>12</v>
      </c>
      <c r="J29" s="6" t="s">
        <v>9</v>
      </c>
      <c r="K29" s="6" t="s">
        <v>9</v>
      </c>
      <c r="L29" s="4" t="s">
        <v>11</v>
      </c>
    </row>
  </sheetData>
  <autoFilter ref="A1:L29" xr:uid="{FDB6C39D-792C-4F07-AE72-B70181D91BDB}"/>
  <hyperlinks>
    <hyperlink ref="A2" location="Puentes!A1" display="Puentes " xr:uid="{322EDF94-941D-48A9-BB50-41FB43A3CCD3}"/>
    <hyperlink ref="A3" location="Paraderos!A1" display="Paraderos  " xr:uid="{6BA03B97-FC69-4569-A4DF-6C24968E5FA8}"/>
    <hyperlink ref="A4" location="Nombre_Corredores!A1" display="Nombre_Corredores" xr:uid="{B1A3EBEC-7441-46CA-8E97-D4B723C34799}"/>
    <hyperlink ref="A5" location="Estado_Calzada!A1" display="Estado_Calzada" xr:uid="{6353E42B-4BC1-4209-A236-E251CEB48F4F}"/>
    <hyperlink ref="A6" location="Fallas_Pavimento!A1" display="Fallas_pavimentos" xr:uid="{9D88C52C-DCC1-4450-9B70-2041016F015D}"/>
    <hyperlink ref="A7" location="Señalizacion!A1" display="Señalizacion" xr:uid="{409DAE73-803D-431E-A29F-E17EA9095334}"/>
    <hyperlink ref="A8" location="Nivel_Servicio!A1" display="Nivel_Servicio" xr:uid="{30CD92BD-A918-425C-BFE1-BA36BCFF4C4E}"/>
    <hyperlink ref="A9" location="'Puentes (2)'!A1" display="Zona_Urbano-Rural " xr:uid="{A5A9F3C3-315A-46FF-B191-1006D15CBE0F}"/>
    <hyperlink ref="A10" location="TPDA!A1" display="TPDa" xr:uid="{A427E929-3681-4160-BB3C-C6E2E2FF2286}"/>
    <hyperlink ref="A11" location="Puertos!A1" display="Puertos " xr:uid="{FB875101-259D-4316-8621-FDE8E68BA897}"/>
    <hyperlink ref="A12" location="Aeropuertos!A1" display="aeropuertos " xr:uid="{E1D79260-F911-448C-944A-C2798E003AD4}"/>
    <hyperlink ref="A13" location="Pasos_Fronterizos!A1" display="Pasos_Fronterizos" xr:uid="{FEA76917-C039-41AC-885C-953F457F5CBF}"/>
    <hyperlink ref="A14" location="Rutas_Cabotaje!A1" display="Rutas_Cabotaje(TMCD)" xr:uid="{78D8D67D-EF9B-4D38-B4C4-699AEAD96FA7}"/>
    <hyperlink ref="A15" location="Red_Ferroviaria!A1" display="Red_Ferroviaria" xr:uid="{3098D9C1-57FF-4FDD-8B74-5E9A021B268F}"/>
    <hyperlink ref="A16" location="Red_Carretera!A1" display="Red_Carretera" xr:uid="{41335E2B-34CA-4485-87B1-EADC2F9A236C}"/>
    <hyperlink ref="A17" location="Rutas_Aereas!A1" display="Rutas_aereas " xr:uid="{64841D4F-FF65-4693-A053-12EDE0CB44C6}"/>
    <hyperlink ref="A18" location="Estaciones_Ferroviarias!A1" display="Estaciones_Ferroviarias" xr:uid="{0AF56390-AEA4-43ED-A939-990D2BA1A316}"/>
    <hyperlink ref="A19" location="Nucleos_Urbanos!A1" display="Nucleos_Urbanos" xr:uid="{7D5431EF-F2E5-4C2C-9B1B-3BC6F23B69DD}"/>
    <hyperlink ref="A20" location="Nodos_Produccion!A1" display="Nodos_Produccion" xr:uid="{04BEDB60-93EC-4B03-9A31-05E5ED7B388F}"/>
    <hyperlink ref="A21" location="Nodos_Exportacion!A1" display="Nodos_Exportacion" xr:uid="{4F1168CA-3600-473E-87A6-AF9DBE75A1FA}"/>
    <hyperlink ref="A22" location="Cadenas_Logisticas!A1" display="Cadenas_Logisticas" xr:uid="{3A96CF68-78D8-4FFB-83B8-01B394269DD4}"/>
    <hyperlink ref="A23" location="Proyectos_Infraestructura!A1" display="Proyectos_Infraestructura(Ubicacion_singular)" xr:uid="{9C66694A-4D06-4A1E-A31F-8F7459696905}"/>
    <hyperlink ref="A24" location="'Proyectos_Infraestructura (2)'!A1" display="Proyectos_de_Infraestructura_(Ubicacion_extendida) " xr:uid="{95611BC2-E7DE-458E-ACA8-43B0DFC5F6DD}"/>
    <hyperlink ref="A25" location="Dias_Calientes!A1" display="Dias_Calientes_Superiores_35C" xr:uid="{E40DFFFB-ED6D-4171-8C78-01260F83F29A}"/>
    <hyperlink ref="A26" location="Incremento_Mar!A1" display="Incremento_nivel_mar_m" xr:uid="{C7C15076-79A8-47A7-8BE6-F6011A32A26D}"/>
    <hyperlink ref="A27" location="Precipitacion!A1" display="Precipitacion_AEP_2040RCP6" xr:uid="{E5F8CDE6-C453-4BE4-B3D5-2DE8294DC0E5}"/>
    <hyperlink ref="A28" location="Medidas_Logisticas_Covid!A1" display="Medidas_Logisticas_COVID " xr:uid="{BA8B4E56-462F-4707-993C-B3833B4E99FC}"/>
    <hyperlink ref="A29" location="Empresas!A1" display="Empresas " xr:uid="{DF581656-14FB-4373-AA29-4DC41F8EFC55}"/>
    <hyperlink ref="C4" r:id="rId1" xr:uid="{C0544949-E6D7-42AD-899E-E1CDDEFA5CE0}"/>
    <hyperlink ref="C5" r:id="rId2" xr:uid="{630B8935-701B-41DA-833E-6034080F867B}"/>
    <hyperlink ref="C9" r:id="rId3" xr:uid="{899D4856-B0A9-4690-ACE1-A19E31056088}"/>
    <hyperlink ref="D2" r:id="rId4" xr:uid="{465009D2-D24F-43D9-AF22-52E019A9D766}"/>
    <hyperlink ref="C2" r:id="rId5" xr:uid="{A37D1A46-51ED-4D0B-B77B-252417E6EDEF}"/>
    <hyperlink ref="C15" r:id="rId6" xr:uid="{0A8D54F0-65FC-4480-8421-2397AEA35F01}"/>
    <hyperlink ref="D16" r:id="rId7" xr:uid="{9D146BCF-AA2F-4EEC-9D8D-033BB4D4387E}"/>
    <hyperlink ref="C29" r:id="rId8" xr:uid="{1BFF13C5-3AE3-40D7-9E12-52D56DDF7C8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E1ED-EF69-4F20-BD60-30D58CA108EB}">
  <dimension ref="B2:E19"/>
  <sheetViews>
    <sheetView zoomScale="70" zoomScaleNormal="70" workbookViewId="0">
      <selection activeCell="C25" sqref="C25"/>
    </sheetView>
  </sheetViews>
  <sheetFormatPr defaultColWidth="10.7265625" defaultRowHeight="14.5" x14ac:dyDescent="0.35"/>
  <cols>
    <col min="1" max="1" width="5.7265625" style="14" customWidth="1"/>
    <col min="2" max="2" width="27" style="16" customWidth="1"/>
    <col min="3" max="3" width="68.54296875" style="14" customWidth="1"/>
    <col min="4" max="4" width="16.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38</v>
      </c>
    </row>
    <row r="5" spans="2:5" ht="31" x14ac:dyDescent="0.35">
      <c r="B5" s="22" t="s">
        <v>39</v>
      </c>
      <c r="C5" s="23" t="s">
        <v>314</v>
      </c>
      <c r="D5" s="24"/>
      <c r="E5" s="25"/>
    </row>
    <row r="6" spans="2:5" ht="31" x14ac:dyDescent="0.35">
      <c r="B6" s="22" t="s">
        <v>40</v>
      </c>
      <c r="C6" s="23" t="s">
        <v>315</v>
      </c>
      <c r="D6" s="24"/>
      <c r="E6" s="33" t="s">
        <v>316</v>
      </c>
    </row>
    <row r="7" spans="2:5" ht="15.5" x14ac:dyDescent="0.35">
      <c r="B7" s="27"/>
      <c r="C7" s="28"/>
      <c r="D7" s="24"/>
      <c r="E7" s="25"/>
    </row>
    <row r="8" spans="2:5" ht="15.5" x14ac:dyDescent="0.35">
      <c r="B8" s="29" t="s">
        <v>63</v>
      </c>
      <c r="C8" s="29" t="s">
        <v>64</v>
      </c>
      <c r="D8" s="30" t="s">
        <v>65</v>
      </c>
      <c r="E8" s="29" t="s">
        <v>320</v>
      </c>
    </row>
    <row r="9" spans="2:5" x14ac:dyDescent="0.35">
      <c r="B9" s="19" t="s">
        <v>41</v>
      </c>
      <c r="C9" s="19" t="s">
        <v>53</v>
      </c>
      <c r="D9" s="21" t="s">
        <v>66</v>
      </c>
      <c r="E9" s="17" t="s">
        <v>71</v>
      </c>
    </row>
    <row r="10" spans="2:5" x14ac:dyDescent="0.35">
      <c r="B10" s="19" t="s">
        <v>42</v>
      </c>
      <c r="C10" s="20" t="s">
        <v>58</v>
      </c>
      <c r="D10" s="21" t="s">
        <v>67</v>
      </c>
      <c r="E10" s="17" t="s">
        <v>71</v>
      </c>
    </row>
    <row r="11" spans="2:5" ht="43.5" x14ac:dyDescent="0.35">
      <c r="B11" s="19" t="s">
        <v>43</v>
      </c>
      <c r="C11" s="20" t="s">
        <v>44</v>
      </c>
      <c r="D11" s="21" t="s">
        <v>67</v>
      </c>
      <c r="E11" s="17" t="s">
        <v>69</v>
      </c>
    </row>
    <row r="12" spans="2:5" ht="72.5" x14ac:dyDescent="0.35">
      <c r="B12" s="34" t="s">
        <v>45</v>
      </c>
      <c r="C12" s="35" t="s">
        <v>55</v>
      </c>
      <c r="D12" s="38" t="s">
        <v>67</v>
      </c>
      <c r="E12" s="36" t="s">
        <v>70</v>
      </c>
    </row>
    <row r="13" spans="2:5" x14ac:dyDescent="0.35">
      <c r="B13" s="19" t="s">
        <v>46</v>
      </c>
      <c r="C13" s="19" t="s">
        <v>317</v>
      </c>
      <c r="D13" s="21" t="s">
        <v>68</v>
      </c>
      <c r="E13" s="17" t="s">
        <v>71</v>
      </c>
    </row>
    <row r="14" spans="2:5" ht="319" x14ac:dyDescent="0.35">
      <c r="B14" s="34" t="s">
        <v>47</v>
      </c>
      <c r="C14" s="34" t="s">
        <v>57</v>
      </c>
      <c r="D14" s="38" t="s">
        <v>67</v>
      </c>
      <c r="E14" s="36" t="s">
        <v>75</v>
      </c>
    </row>
    <row r="15" spans="2:5" ht="29" x14ac:dyDescent="0.35">
      <c r="B15" s="34" t="s">
        <v>48</v>
      </c>
      <c r="C15" s="36" t="s">
        <v>318</v>
      </c>
      <c r="D15" s="38" t="s">
        <v>67</v>
      </c>
      <c r="E15" s="37" t="s">
        <v>71</v>
      </c>
    </row>
    <row r="16" spans="2:5" ht="43.5" x14ac:dyDescent="0.35">
      <c r="B16" s="19" t="s">
        <v>49</v>
      </c>
      <c r="C16" s="20" t="s">
        <v>54</v>
      </c>
      <c r="D16" s="21" t="s">
        <v>67</v>
      </c>
      <c r="E16" s="18" t="s">
        <v>71</v>
      </c>
    </row>
    <row r="17" spans="2:5" x14ac:dyDescent="0.35">
      <c r="B17" s="19" t="s">
        <v>50</v>
      </c>
      <c r="C17" s="19" t="s">
        <v>59</v>
      </c>
      <c r="D17" s="21" t="s">
        <v>67</v>
      </c>
      <c r="E17" s="18" t="s">
        <v>71</v>
      </c>
    </row>
    <row r="18" spans="2:5" x14ac:dyDescent="0.35">
      <c r="B18" s="19" t="s">
        <v>39</v>
      </c>
      <c r="C18" s="19" t="s">
        <v>61</v>
      </c>
      <c r="D18" s="21" t="s">
        <v>67</v>
      </c>
      <c r="E18" s="18" t="s">
        <v>71</v>
      </c>
    </row>
    <row r="19" spans="2:5" ht="159.5" x14ac:dyDescent="0.35">
      <c r="B19" s="34" t="s">
        <v>52</v>
      </c>
      <c r="C19" s="34" t="s">
        <v>62</v>
      </c>
      <c r="D19" s="38" t="s">
        <v>67</v>
      </c>
      <c r="E19" s="36" t="s">
        <v>74</v>
      </c>
    </row>
  </sheetData>
  <hyperlinks>
    <hyperlink ref="B2" location="Respositorio_Capas!A1" display="INICIO" xr:uid="{CCC9F8CD-59BF-498F-81B4-B12805CE653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E268-4B97-4D5D-9A8F-2C4E915B7EDC}">
  <dimension ref="B2:E19"/>
  <sheetViews>
    <sheetView zoomScale="70" zoomScaleNormal="70" workbookViewId="0">
      <selection activeCell="C19" sqref="C19"/>
    </sheetView>
  </sheetViews>
  <sheetFormatPr defaultColWidth="10.7265625" defaultRowHeight="14.5" x14ac:dyDescent="0.35"/>
  <cols>
    <col min="1" max="1" width="5.7265625" style="14" customWidth="1"/>
    <col min="2" max="2" width="27" style="16" customWidth="1"/>
    <col min="3" max="3" width="74.1796875" style="14" customWidth="1"/>
    <col min="4" max="4" width="16.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392</v>
      </c>
    </row>
    <row r="5" spans="2:5" ht="31" x14ac:dyDescent="0.35">
      <c r="B5" s="22" t="s">
        <v>39</v>
      </c>
      <c r="C5" s="23" t="s">
        <v>314</v>
      </c>
      <c r="D5" s="24"/>
      <c r="E5" s="25"/>
    </row>
    <row r="6" spans="2:5" ht="31" x14ac:dyDescent="0.35">
      <c r="B6" s="22" t="s">
        <v>40</v>
      </c>
      <c r="C6" s="23" t="s">
        <v>315</v>
      </c>
      <c r="D6" s="24"/>
      <c r="E6" s="33" t="s">
        <v>316</v>
      </c>
    </row>
    <row r="7" spans="2:5" ht="15.5" x14ac:dyDescent="0.35">
      <c r="B7" s="27"/>
      <c r="C7" s="28"/>
      <c r="D7" s="24"/>
      <c r="E7" s="25"/>
    </row>
    <row r="8" spans="2:5" ht="15.5" x14ac:dyDescent="0.35">
      <c r="B8" s="29" t="s">
        <v>63</v>
      </c>
      <c r="C8" s="29" t="s">
        <v>64</v>
      </c>
      <c r="D8" s="30" t="s">
        <v>65</v>
      </c>
      <c r="E8" s="29" t="s">
        <v>320</v>
      </c>
    </row>
    <row r="9" spans="2:5" x14ac:dyDescent="0.35">
      <c r="B9" s="19" t="s">
        <v>41</v>
      </c>
      <c r="C9" s="20" t="s">
        <v>53</v>
      </c>
      <c r="D9" s="21" t="s">
        <v>66</v>
      </c>
      <c r="E9" s="17" t="s">
        <v>71</v>
      </c>
    </row>
    <row r="10" spans="2:5" x14ac:dyDescent="0.35">
      <c r="B10" s="19" t="s">
        <v>42</v>
      </c>
      <c r="C10" s="20" t="s">
        <v>58</v>
      </c>
      <c r="D10" s="21" t="s">
        <v>67</v>
      </c>
      <c r="E10" s="17" t="s">
        <v>71</v>
      </c>
    </row>
    <row r="11" spans="2:5" ht="43.5" x14ac:dyDescent="0.35">
      <c r="B11" s="19" t="s">
        <v>43</v>
      </c>
      <c r="C11" s="20" t="s">
        <v>44</v>
      </c>
      <c r="D11" s="21" t="s">
        <v>67</v>
      </c>
      <c r="E11" s="17" t="s">
        <v>69</v>
      </c>
    </row>
    <row r="12" spans="2:5" ht="72.5" x14ac:dyDescent="0.35">
      <c r="B12" s="34" t="s">
        <v>45</v>
      </c>
      <c r="C12" s="35" t="s">
        <v>550</v>
      </c>
      <c r="D12" s="38" t="s">
        <v>67</v>
      </c>
      <c r="E12" s="36" t="s">
        <v>70</v>
      </c>
    </row>
    <row r="13" spans="2:5" x14ac:dyDescent="0.35">
      <c r="B13" s="19" t="s">
        <v>46</v>
      </c>
      <c r="C13" s="20" t="s">
        <v>549</v>
      </c>
      <c r="D13" s="21" t="s">
        <v>68</v>
      </c>
      <c r="E13" s="17" t="s">
        <v>71</v>
      </c>
    </row>
    <row r="14" spans="2:5" ht="409.5" x14ac:dyDescent="0.35">
      <c r="B14" s="34" t="s">
        <v>391</v>
      </c>
      <c r="C14" s="35" t="s">
        <v>548</v>
      </c>
      <c r="D14" s="38" t="s">
        <v>67</v>
      </c>
      <c r="E14" s="36" t="s">
        <v>551</v>
      </c>
    </row>
    <row r="15" spans="2:5" ht="29" x14ac:dyDescent="0.35">
      <c r="B15" s="34" t="s">
        <v>48</v>
      </c>
      <c r="C15" s="36" t="s">
        <v>552</v>
      </c>
      <c r="D15" s="38" t="s">
        <v>67</v>
      </c>
      <c r="E15" s="37" t="s">
        <v>71</v>
      </c>
    </row>
    <row r="16" spans="2:5" ht="29" x14ac:dyDescent="0.35">
      <c r="B16" s="19" t="s">
        <v>49</v>
      </c>
      <c r="C16" s="20" t="s">
        <v>54</v>
      </c>
      <c r="D16" s="21" t="s">
        <v>67</v>
      </c>
      <c r="E16" s="18" t="s">
        <v>71</v>
      </c>
    </row>
    <row r="17" spans="2:5" x14ac:dyDescent="0.35">
      <c r="B17" s="19" t="s">
        <v>50</v>
      </c>
      <c r="C17" s="20" t="s">
        <v>59</v>
      </c>
      <c r="D17" s="21" t="s">
        <v>67</v>
      </c>
      <c r="E17" s="18" t="s">
        <v>71</v>
      </c>
    </row>
    <row r="18" spans="2:5" x14ac:dyDescent="0.35">
      <c r="B18" s="19" t="s">
        <v>39</v>
      </c>
      <c r="C18" s="20" t="s">
        <v>553</v>
      </c>
      <c r="D18" s="21" t="s">
        <v>67</v>
      </c>
      <c r="E18" s="18" t="s">
        <v>71</v>
      </c>
    </row>
    <row r="19" spans="2:5" ht="159.5" x14ac:dyDescent="0.35">
      <c r="B19" s="34" t="s">
        <v>52</v>
      </c>
      <c r="C19" s="35" t="s">
        <v>62</v>
      </c>
      <c r="D19" s="38" t="s">
        <v>67</v>
      </c>
      <c r="E19" s="36" t="s">
        <v>74</v>
      </c>
    </row>
  </sheetData>
  <hyperlinks>
    <hyperlink ref="B2" location="Respositorio_Capas!A1" display="INICIO" xr:uid="{2B3A3510-CF0C-406F-A255-495F947F29A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D259-80B1-44DD-921F-1EFCD6B4B58C}">
  <dimension ref="B2:E12"/>
  <sheetViews>
    <sheetView zoomScale="70" zoomScaleNormal="70" workbookViewId="0">
      <selection activeCell="C22" sqref="C22"/>
    </sheetView>
  </sheetViews>
  <sheetFormatPr defaultColWidth="10.7265625" defaultRowHeight="14.5" x14ac:dyDescent="0.35"/>
  <cols>
    <col min="1" max="1" width="5.7265625" style="14" customWidth="1"/>
    <col min="2" max="2" width="27" style="16" customWidth="1"/>
    <col min="3" max="3" width="68.54296875" style="14" customWidth="1"/>
    <col min="4" max="4" width="17.81640625" style="15"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77</v>
      </c>
    </row>
    <row r="5" spans="2:5" ht="31" x14ac:dyDescent="0.35">
      <c r="B5" s="22" t="s">
        <v>39</v>
      </c>
      <c r="C5" s="23" t="s">
        <v>319</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29" t="s">
        <v>65</v>
      </c>
      <c r="E8" s="29" t="s">
        <v>320</v>
      </c>
    </row>
    <row r="9" spans="2:5" ht="29" x14ac:dyDescent="0.35">
      <c r="B9" s="34" t="s">
        <v>48</v>
      </c>
      <c r="C9" s="36" t="s">
        <v>318</v>
      </c>
      <c r="D9" s="34" t="s">
        <v>67</v>
      </c>
      <c r="E9" s="37" t="s">
        <v>71</v>
      </c>
    </row>
    <row r="10" spans="2:5" x14ac:dyDescent="0.35">
      <c r="B10" s="39" t="s">
        <v>50</v>
      </c>
      <c r="C10" s="39" t="s">
        <v>78</v>
      </c>
      <c r="D10" s="39" t="s">
        <v>67</v>
      </c>
      <c r="E10" s="40" t="s">
        <v>71</v>
      </c>
    </row>
    <row r="11" spans="2:5" ht="43.5" x14ac:dyDescent="0.35">
      <c r="B11" s="19" t="s">
        <v>43</v>
      </c>
      <c r="C11" s="20" t="s">
        <v>44</v>
      </c>
      <c r="D11" s="19" t="s">
        <v>67</v>
      </c>
      <c r="E11" s="17" t="s">
        <v>69</v>
      </c>
    </row>
    <row r="12" spans="2:5" ht="159.5" x14ac:dyDescent="0.35">
      <c r="B12" s="34" t="s">
        <v>52</v>
      </c>
      <c r="C12" s="34" t="s">
        <v>62</v>
      </c>
      <c r="D12" s="34" t="s">
        <v>67</v>
      </c>
      <c r="E12" s="36" t="s">
        <v>74</v>
      </c>
    </row>
  </sheetData>
  <hyperlinks>
    <hyperlink ref="B2" location="Respositorio_Capas!A1" display="INICIO" xr:uid="{10AF9626-7295-47CF-8818-04625C0E2D6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F84B-46A0-4833-B3D0-762C7E071787}">
  <dimension ref="B2:E19"/>
  <sheetViews>
    <sheetView zoomScale="70" zoomScaleNormal="70" workbookViewId="0">
      <selection activeCell="C19" sqref="C19"/>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79</v>
      </c>
    </row>
    <row r="5" spans="2:5" ht="15.5" x14ac:dyDescent="0.35">
      <c r="B5" s="22" t="s">
        <v>39</v>
      </c>
      <c r="C5" s="23" t="s">
        <v>80</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41</v>
      </c>
      <c r="C9" s="19" t="s">
        <v>53</v>
      </c>
      <c r="D9" s="21" t="s">
        <v>66</v>
      </c>
      <c r="E9" s="18" t="s">
        <v>71</v>
      </c>
    </row>
    <row r="10" spans="2:5" x14ac:dyDescent="0.35">
      <c r="B10" s="19" t="s">
        <v>42</v>
      </c>
      <c r="C10" s="20" t="s">
        <v>58</v>
      </c>
      <c r="D10" s="21" t="s">
        <v>67</v>
      </c>
      <c r="E10" s="17" t="s">
        <v>71</v>
      </c>
    </row>
    <row r="11" spans="2:5" ht="101.5" x14ac:dyDescent="0.35">
      <c r="B11" s="34" t="s">
        <v>81</v>
      </c>
      <c r="C11" s="35" t="s">
        <v>82</v>
      </c>
      <c r="D11" s="38" t="s">
        <v>67</v>
      </c>
      <c r="E11" s="36" t="s">
        <v>83</v>
      </c>
    </row>
    <row r="12" spans="2:5" ht="43.5" x14ac:dyDescent="0.35">
      <c r="B12" s="34" t="s">
        <v>45</v>
      </c>
      <c r="C12" s="35" t="s">
        <v>84</v>
      </c>
      <c r="D12" s="38" t="s">
        <v>67</v>
      </c>
      <c r="E12" s="36" t="s">
        <v>85</v>
      </c>
    </row>
    <row r="13" spans="2:5" x14ac:dyDescent="0.35">
      <c r="B13" s="19" t="s">
        <v>46</v>
      </c>
      <c r="C13" s="19" t="s">
        <v>56</v>
      </c>
      <c r="D13" s="21" t="s">
        <v>68</v>
      </c>
      <c r="E13" s="17" t="s">
        <v>71</v>
      </c>
    </row>
    <row r="14" spans="2:5" ht="29" x14ac:dyDescent="0.35">
      <c r="B14" s="34" t="s">
        <v>48</v>
      </c>
      <c r="C14" s="36" t="s">
        <v>72</v>
      </c>
      <c r="D14" s="38" t="s">
        <v>67</v>
      </c>
      <c r="E14" s="37" t="s">
        <v>71</v>
      </c>
    </row>
    <row r="15" spans="2:5" ht="43.5" x14ac:dyDescent="0.35">
      <c r="B15" s="19" t="s">
        <v>49</v>
      </c>
      <c r="C15" s="20" t="s">
        <v>54</v>
      </c>
      <c r="D15" s="21" t="s">
        <v>67</v>
      </c>
      <c r="E15" s="18" t="s">
        <v>71</v>
      </c>
    </row>
    <row r="16" spans="2:5" x14ac:dyDescent="0.35">
      <c r="B16" s="19" t="s">
        <v>50</v>
      </c>
      <c r="C16" s="19" t="s">
        <v>89</v>
      </c>
      <c r="D16" s="21" t="s">
        <v>67</v>
      </c>
      <c r="E16" s="18" t="s">
        <v>71</v>
      </c>
    </row>
    <row r="17" spans="2:5" ht="43.5" x14ac:dyDescent="0.35">
      <c r="B17" s="19" t="s">
        <v>43</v>
      </c>
      <c r="C17" s="20" t="s">
        <v>44</v>
      </c>
      <c r="D17" s="21" t="s">
        <v>67</v>
      </c>
      <c r="E17" s="17" t="s">
        <v>69</v>
      </c>
    </row>
    <row r="18" spans="2:5" x14ac:dyDescent="0.35">
      <c r="B18" s="19" t="s">
        <v>39</v>
      </c>
      <c r="C18" s="19" t="s">
        <v>554</v>
      </c>
      <c r="D18" s="21" t="s">
        <v>67</v>
      </c>
      <c r="E18" s="18" t="s">
        <v>71</v>
      </c>
    </row>
    <row r="19" spans="2:5" ht="159.5" x14ac:dyDescent="0.35">
      <c r="B19" s="34" t="s">
        <v>52</v>
      </c>
      <c r="C19" s="34" t="s">
        <v>62</v>
      </c>
      <c r="D19" s="38" t="s">
        <v>67</v>
      </c>
      <c r="E19" s="36" t="s">
        <v>74</v>
      </c>
    </row>
  </sheetData>
  <hyperlinks>
    <hyperlink ref="B2" location="Respositorio_Capas!A1" display="INICIO" xr:uid="{2CE78C18-0F63-4C74-A9E9-5FFADC4A506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54FB-C1B2-4CC4-BA49-ACC37A1AD2D9}">
  <dimension ref="B2:E32"/>
  <sheetViews>
    <sheetView zoomScale="70" zoomScaleNormal="70" workbookViewId="0">
      <selection activeCell="B1" sqref="B1"/>
    </sheetView>
  </sheetViews>
  <sheetFormatPr defaultColWidth="10.7265625" defaultRowHeight="14.5" x14ac:dyDescent="0.35"/>
  <cols>
    <col min="1" max="1" width="5.7265625" style="14" customWidth="1"/>
    <col min="2" max="2" width="32.453125" style="16" bestFit="1"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79</v>
      </c>
    </row>
    <row r="5" spans="2:5" ht="31" x14ac:dyDescent="0.35">
      <c r="B5" s="22" t="s">
        <v>39</v>
      </c>
      <c r="C5" s="23" t="s">
        <v>86</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34" t="s">
        <v>87</v>
      </c>
      <c r="C9" s="35" t="s">
        <v>88</v>
      </c>
      <c r="D9" s="38" t="s">
        <v>67</v>
      </c>
      <c r="E9" s="36" t="s">
        <v>71</v>
      </c>
    </row>
    <row r="10" spans="2:5" ht="29" x14ac:dyDescent="0.35">
      <c r="B10" s="34" t="s">
        <v>48</v>
      </c>
      <c r="C10" s="36" t="s">
        <v>72</v>
      </c>
      <c r="D10" s="38" t="s">
        <v>67</v>
      </c>
      <c r="E10" s="37" t="s">
        <v>71</v>
      </c>
    </row>
    <row r="11" spans="2:5" x14ac:dyDescent="0.35">
      <c r="B11" s="34" t="s">
        <v>90</v>
      </c>
      <c r="C11" s="34" t="s">
        <v>91</v>
      </c>
      <c r="D11" s="38" t="s">
        <v>67</v>
      </c>
      <c r="E11" s="37" t="s">
        <v>71</v>
      </c>
    </row>
    <row r="12" spans="2:5" ht="43.5" x14ac:dyDescent="0.35">
      <c r="B12" s="34" t="s">
        <v>92</v>
      </c>
      <c r="C12" s="35" t="s">
        <v>44</v>
      </c>
      <c r="D12" s="38" t="s">
        <v>67</v>
      </c>
      <c r="E12" s="36" t="s">
        <v>71</v>
      </c>
    </row>
    <row r="13" spans="2:5" ht="31" x14ac:dyDescent="0.35">
      <c r="B13" s="41" t="s">
        <v>93</v>
      </c>
      <c r="C13" s="42" t="s">
        <v>108</v>
      </c>
      <c r="D13" s="43" t="s">
        <v>68</v>
      </c>
      <c r="E13" s="36" t="s">
        <v>71</v>
      </c>
    </row>
    <row r="14" spans="2:5" ht="15.5" x14ac:dyDescent="0.35">
      <c r="B14" s="41" t="s">
        <v>94</v>
      </c>
      <c r="C14" s="41" t="s">
        <v>109</v>
      </c>
      <c r="D14" s="43" t="s">
        <v>68</v>
      </c>
      <c r="E14" s="36" t="s">
        <v>71</v>
      </c>
    </row>
    <row r="15" spans="2:5" ht="46.5" x14ac:dyDescent="0.35">
      <c r="B15" s="41" t="s">
        <v>95</v>
      </c>
      <c r="C15" s="42" t="s">
        <v>110</v>
      </c>
      <c r="D15" s="43" t="s">
        <v>68</v>
      </c>
      <c r="E15" s="36" t="s">
        <v>71</v>
      </c>
    </row>
    <row r="16" spans="2:5" ht="46.5" x14ac:dyDescent="0.35">
      <c r="B16" s="41" t="s">
        <v>97</v>
      </c>
      <c r="C16" s="42" t="s">
        <v>111</v>
      </c>
      <c r="D16" s="43" t="s">
        <v>68</v>
      </c>
      <c r="E16" s="36" t="s">
        <v>71</v>
      </c>
    </row>
    <row r="17" spans="2:5" ht="31" x14ac:dyDescent="0.35">
      <c r="B17" s="41" t="s">
        <v>98</v>
      </c>
      <c r="C17" s="42" t="s">
        <v>112</v>
      </c>
      <c r="D17" s="43" t="s">
        <v>68</v>
      </c>
      <c r="E17" s="36" t="s">
        <v>71</v>
      </c>
    </row>
    <row r="18" spans="2:5" ht="31" x14ac:dyDescent="0.35">
      <c r="B18" s="41" t="s">
        <v>96</v>
      </c>
      <c r="C18" s="42" t="s">
        <v>113</v>
      </c>
      <c r="D18" s="43" t="s">
        <v>68</v>
      </c>
      <c r="E18" s="36" t="s">
        <v>71</v>
      </c>
    </row>
    <row r="19" spans="2:5" ht="15.5" x14ac:dyDescent="0.35">
      <c r="B19" s="41" t="s">
        <v>99</v>
      </c>
      <c r="C19" s="41" t="s">
        <v>114</v>
      </c>
      <c r="D19" s="43" t="s">
        <v>68</v>
      </c>
      <c r="E19" s="36" t="s">
        <v>71</v>
      </c>
    </row>
    <row r="20" spans="2:5" ht="15.5" x14ac:dyDescent="0.35">
      <c r="B20" s="41" t="s">
        <v>100</v>
      </c>
      <c r="C20" s="41" t="s">
        <v>115</v>
      </c>
      <c r="D20" s="43" t="s">
        <v>68</v>
      </c>
      <c r="E20" s="36" t="s">
        <v>71</v>
      </c>
    </row>
    <row r="21" spans="2:5" ht="46.5" x14ac:dyDescent="0.35">
      <c r="B21" s="41" t="s">
        <v>101</v>
      </c>
      <c r="C21" s="42" t="s">
        <v>118</v>
      </c>
      <c r="D21" s="43" t="s">
        <v>68</v>
      </c>
      <c r="E21" s="36" t="s">
        <v>71</v>
      </c>
    </row>
    <row r="22" spans="2:5" ht="46.5" x14ac:dyDescent="0.35">
      <c r="B22" s="41" t="s">
        <v>102</v>
      </c>
      <c r="C22" s="42" t="s">
        <v>119</v>
      </c>
      <c r="D22" s="43" t="s">
        <v>68</v>
      </c>
      <c r="E22" s="36" t="s">
        <v>71</v>
      </c>
    </row>
    <row r="23" spans="2:5" ht="31" x14ac:dyDescent="0.35">
      <c r="B23" s="41" t="s">
        <v>103</v>
      </c>
      <c r="C23" s="42" t="s">
        <v>116</v>
      </c>
      <c r="D23" s="43" t="s">
        <v>68</v>
      </c>
      <c r="E23" s="36" t="s">
        <v>71</v>
      </c>
    </row>
    <row r="24" spans="2:5" ht="31" x14ac:dyDescent="0.35">
      <c r="B24" s="41" t="s">
        <v>104</v>
      </c>
      <c r="C24" s="42" t="s">
        <v>117</v>
      </c>
      <c r="D24" s="43" t="s">
        <v>68</v>
      </c>
      <c r="E24" s="36" t="s">
        <v>71</v>
      </c>
    </row>
    <row r="25" spans="2:5" ht="15.5" x14ac:dyDescent="0.35">
      <c r="B25" s="41" t="s">
        <v>120</v>
      </c>
      <c r="C25" s="41" t="s">
        <v>121</v>
      </c>
      <c r="D25" s="43" t="s">
        <v>68</v>
      </c>
      <c r="E25" s="36" t="s">
        <v>71</v>
      </c>
    </row>
    <row r="26" spans="2:5" ht="15.5" x14ac:dyDescent="0.35">
      <c r="B26" s="41" t="s">
        <v>105</v>
      </c>
      <c r="C26" s="41" t="s">
        <v>122</v>
      </c>
      <c r="D26" s="43" t="s">
        <v>68</v>
      </c>
      <c r="E26" s="36" t="s">
        <v>71</v>
      </c>
    </row>
    <row r="27" spans="2:5" ht="15.5" x14ac:dyDescent="0.35">
      <c r="B27" s="41" t="s">
        <v>106</v>
      </c>
      <c r="C27" s="41" t="s">
        <v>123</v>
      </c>
      <c r="D27" s="43" t="s">
        <v>68</v>
      </c>
      <c r="E27" s="36" t="s">
        <v>71</v>
      </c>
    </row>
    <row r="28" spans="2:5" ht="15.5" x14ac:dyDescent="0.35">
      <c r="B28" s="41" t="s">
        <v>107</v>
      </c>
      <c r="C28" s="41" t="s">
        <v>124</v>
      </c>
      <c r="D28" s="43" t="s">
        <v>68</v>
      </c>
      <c r="E28" s="36" t="s">
        <v>71</v>
      </c>
    </row>
    <row r="29" spans="2:5" x14ac:dyDescent="0.35">
      <c r="B29" s="19" t="s">
        <v>42</v>
      </c>
      <c r="C29" s="20" t="s">
        <v>58</v>
      </c>
      <c r="D29" s="21" t="s">
        <v>67</v>
      </c>
      <c r="E29" s="17" t="s">
        <v>71</v>
      </c>
    </row>
    <row r="30" spans="2:5" ht="43.5" x14ac:dyDescent="0.35">
      <c r="B30" s="19" t="s">
        <v>49</v>
      </c>
      <c r="C30" s="20" t="s">
        <v>54</v>
      </c>
      <c r="D30" s="21" t="s">
        <v>67</v>
      </c>
      <c r="E30" s="18" t="s">
        <v>71</v>
      </c>
    </row>
    <row r="31" spans="2:5" x14ac:dyDescent="0.35">
      <c r="B31" s="19" t="s">
        <v>39</v>
      </c>
      <c r="C31" s="19" t="s">
        <v>61</v>
      </c>
      <c r="D31" s="21" t="s">
        <v>67</v>
      </c>
      <c r="E31" s="18" t="s">
        <v>71</v>
      </c>
    </row>
    <row r="32" spans="2:5" ht="159.5" x14ac:dyDescent="0.35">
      <c r="B32" s="34" t="s">
        <v>52</v>
      </c>
      <c r="C32" s="34" t="s">
        <v>62</v>
      </c>
      <c r="D32" s="38" t="s">
        <v>67</v>
      </c>
      <c r="E32" s="36" t="s">
        <v>74</v>
      </c>
    </row>
  </sheetData>
  <hyperlinks>
    <hyperlink ref="B2" location="Respositorio_Capas!A1" display="INICIO" xr:uid="{1912546A-B554-4958-92FC-892BAE296F4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D6F3-FC40-402F-9444-86CF66BC645D}">
  <dimension ref="B2:E19"/>
  <sheetViews>
    <sheetView zoomScale="70" zoomScaleNormal="70" workbookViewId="0">
      <selection activeCell="A18" sqref="A18:XFD18"/>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126.453125" style="14" customWidth="1"/>
    <col min="6" max="6" width="62.7265625" style="14" customWidth="1"/>
    <col min="7" max="16384" width="10.7265625" style="14"/>
  </cols>
  <sheetData>
    <row r="2" spans="2:5" x14ac:dyDescent="0.35">
      <c r="B2" s="44" t="s">
        <v>126</v>
      </c>
    </row>
    <row r="4" spans="2:5" ht="23.5" x14ac:dyDescent="0.35">
      <c r="B4" s="32" t="s">
        <v>37</v>
      </c>
      <c r="C4" s="31" t="s">
        <v>125</v>
      </c>
    </row>
    <row r="5" spans="2:5" ht="31" x14ac:dyDescent="0.35">
      <c r="B5" s="22" t="s">
        <v>39</v>
      </c>
      <c r="C5" s="23" t="s">
        <v>135</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127</v>
      </c>
      <c r="C9" s="19" t="s">
        <v>53</v>
      </c>
      <c r="D9" s="21" t="s">
        <v>66</v>
      </c>
      <c r="E9" s="17" t="s">
        <v>71</v>
      </c>
    </row>
    <row r="10" spans="2:5" ht="382.9" customHeight="1" x14ac:dyDescent="0.35">
      <c r="B10" s="34" t="s">
        <v>136</v>
      </c>
      <c r="C10" s="35" t="s">
        <v>128</v>
      </c>
      <c r="D10" s="38" t="s">
        <v>67</v>
      </c>
      <c r="E10" s="36" t="s">
        <v>129</v>
      </c>
    </row>
    <row r="11" spans="2:5" x14ac:dyDescent="0.35">
      <c r="B11" s="19" t="s">
        <v>42</v>
      </c>
      <c r="C11" s="20" t="s">
        <v>58</v>
      </c>
      <c r="D11" s="21" t="s">
        <v>67</v>
      </c>
      <c r="E11" s="17" t="s">
        <v>71</v>
      </c>
    </row>
    <row r="12" spans="2:5" ht="43.5" x14ac:dyDescent="0.35">
      <c r="B12" s="19" t="s">
        <v>43</v>
      </c>
      <c r="C12" s="20" t="s">
        <v>44</v>
      </c>
      <c r="D12" s="21" t="s">
        <v>67</v>
      </c>
      <c r="E12" s="17" t="s">
        <v>69</v>
      </c>
    </row>
    <row r="13" spans="2:5" ht="43.5" x14ac:dyDescent="0.35">
      <c r="B13" s="34" t="s">
        <v>45</v>
      </c>
      <c r="C13" s="35" t="s">
        <v>55</v>
      </c>
      <c r="D13" s="38" t="s">
        <v>67</v>
      </c>
      <c r="E13" s="36" t="s">
        <v>70</v>
      </c>
    </row>
    <row r="14" spans="2:5" x14ac:dyDescent="0.35">
      <c r="B14" s="19" t="s">
        <v>46</v>
      </c>
      <c r="C14" s="19" t="s">
        <v>56</v>
      </c>
      <c r="D14" s="21" t="s">
        <v>68</v>
      </c>
      <c r="E14" s="17" t="s">
        <v>71</v>
      </c>
    </row>
    <row r="15" spans="2:5" ht="29" x14ac:dyDescent="0.35">
      <c r="B15" s="34" t="s">
        <v>48</v>
      </c>
      <c r="C15" s="36" t="s">
        <v>72</v>
      </c>
      <c r="D15" s="38" t="s">
        <v>67</v>
      </c>
      <c r="E15" s="37" t="s">
        <v>71</v>
      </c>
    </row>
    <row r="16" spans="2:5" ht="43.5" x14ac:dyDescent="0.35">
      <c r="B16" s="19" t="s">
        <v>49</v>
      </c>
      <c r="C16" s="20" t="s">
        <v>54</v>
      </c>
      <c r="D16" s="21" t="s">
        <v>67</v>
      </c>
      <c r="E16" s="18" t="s">
        <v>71</v>
      </c>
    </row>
    <row r="17" spans="2:5" x14ac:dyDescent="0.35">
      <c r="B17" s="19" t="s">
        <v>50</v>
      </c>
      <c r="C17" s="19" t="s">
        <v>59</v>
      </c>
      <c r="D17" s="21" t="s">
        <v>67</v>
      </c>
      <c r="E17" s="18" t="s">
        <v>71</v>
      </c>
    </row>
    <row r="18" spans="2:5" x14ac:dyDescent="0.35">
      <c r="B18" s="19" t="s">
        <v>39</v>
      </c>
      <c r="C18" s="19" t="s">
        <v>61</v>
      </c>
      <c r="D18" s="21" t="s">
        <v>67</v>
      </c>
      <c r="E18" s="18" t="s">
        <v>71</v>
      </c>
    </row>
    <row r="19" spans="2:5" ht="159.5" x14ac:dyDescent="0.35">
      <c r="B19" s="34" t="s">
        <v>52</v>
      </c>
      <c r="C19" s="34" t="s">
        <v>62</v>
      </c>
      <c r="D19" s="38" t="s">
        <v>67</v>
      </c>
      <c r="E19" s="36" t="s">
        <v>74</v>
      </c>
    </row>
  </sheetData>
  <hyperlinks>
    <hyperlink ref="B2" location="Respositorio_Capas!A1" display="INICIO" xr:uid="{A6939026-1499-4306-A83A-EF05D1C8124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5203-0337-4EDD-8F18-83058EDDC306}">
  <dimension ref="B2:E18"/>
  <sheetViews>
    <sheetView zoomScale="70" zoomScaleNormal="70" workbookViewId="0">
      <selection activeCell="C18" sqref="C18"/>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19</v>
      </c>
    </row>
    <row r="5" spans="2:5" ht="31" x14ac:dyDescent="0.35">
      <c r="B5" s="22" t="s">
        <v>39</v>
      </c>
      <c r="C5" s="23" t="s">
        <v>137</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41</v>
      </c>
      <c r="C9" s="19" t="s">
        <v>53</v>
      </c>
      <c r="D9" s="21" t="s">
        <v>66</v>
      </c>
      <c r="E9" s="17" t="s">
        <v>71</v>
      </c>
    </row>
    <row r="10" spans="2:5" x14ac:dyDescent="0.35">
      <c r="B10" s="19" t="s">
        <v>42</v>
      </c>
      <c r="C10" s="20" t="s">
        <v>58</v>
      </c>
      <c r="D10" s="21" t="s">
        <v>67</v>
      </c>
      <c r="E10" s="17" t="s">
        <v>71</v>
      </c>
    </row>
    <row r="11" spans="2:5" ht="43.5" x14ac:dyDescent="0.35">
      <c r="B11" s="19" t="s">
        <v>43</v>
      </c>
      <c r="C11" s="20" t="s">
        <v>44</v>
      </c>
      <c r="D11" s="21" t="s">
        <v>67</v>
      </c>
      <c r="E11" s="17" t="s">
        <v>69</v>
      </c>
    </row>
    <row r="12" spans="2:5" ht="58" x14ac:dyDescent="0.35">
      <c r="B12" s="34" t="s">
        <v>19</v>
      </c>
      <c r="C12" s="35" t="s">
        <v>131</v>
      </c>
      <c r="D12" s="38" t="s">
        <v>67</v>
      </c>
      <c r="E12" s="37" t="s">
        <v>71</v>
      </c>
    </row>
    <row r="13" spans="2:5" x14ac:dyDescent="0.35">
      <c r="B13" s="19" t="s">
        <v>46</v>
      </c>
      <c r="C13" s="19" t="s">
        <v>556</v>
      </c>
      <c r="D13" s="21" t="s">
        <v>68</v>
      </c>
      <c r="E13" s="17" t="s">
        <v>71</v>
      </c>
    </row>
    <row r="14" spans="2:5" ht="29" x14ac:dyDescent="0.35">
      <c r="B14" s="34" t="s">
        <v>48</v>
      </c>
      <c r="C14" s="36" t="s">
        <v>72</v>
      </c>
      <c r="D14" s="38" t="s">
        <v>67</v>
      </c>
      <c r="E14" s="37" t="s">
        <v>71</v>
      </c>
    </row>
    <row r="15" spans="2:5" ht="43.5" x14ac:dyDescent="0.35">
      <c r="B15" s="19" t="s">
        <v>49</v>
      </c>
      <c r="C15" s="20" t="s">
        <v>54</v>
      </c>
      <c r="D15" s="21" t="s">
        <v>67</v>
      </c>
      <c r="E15" s="18" t="s">
        <v>71</v>
      </c>
    </row>
    <row r="16" spans="2:5" x14ac:dyDescent="0.35">
      <c r="B16" s="19" t="s">
        <v>50</v>
      </c>
      <c r="C16" s="19" t="s">
        <v>555</v>
      </c>
      <c r="D16" s="21" t="s">
        <v>67</v>
      </c>
      <c r="E16" s="18" t="s">
        <v>71</v>
      </c>
    </row>
    <row r="17" spans="2:5" x14ac:dyDescent="0.35">
      <c r="B17" s="19" t="s">
        <v>39</v>
      </c>
      <c r="C17" s="19" t="s">
        <v>557</v>
      </c>
      <c r="D17" s="21" t="s">
        <v>67</v>
      </c>
      <c r="E17" s="18" t="s">
        <v>71</v>
      </c>
    </row>
    <row r="18" spans="2:5" ht="159.5" x14ac:dyDescent="0.35">
      <c r="B18" s="34" t="s">
        <v>52</v>
      </c>
      <c r="C18" s="34" t="s">
        <v>62</v>
      </c>
      <c r="D18" s="38" t="s">
        <v>67</v>
      </c>
      <c r="E18" s="36" t="s">
        <v>74</v>
      </c>
    </row>
  </sheetData>
  <hyperlinks>
    <hyperlink ref="B2" location="Respositorio_Capas!A1" display="INICIO" xr:uid="{4B23EF1D-0310-4554-A437-7B751E11003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73FE-62DD-4964-9849-B7E6B0D80699}">
  <dimension ref="B2:E25"/>
  <sheetViews>
    <sheetView zoomScale="70" zoomScaleNormal="70" workbookViewId="0">
      <selection activeCell="C6" sqref="C6"/>
    </sheetView>
  </sheetViews>
  <sheetFormatPr defaultColWidth="10.7265625" defaultRowHeight="14.5" x14ac:dyDescent="0.35"/>
  <cols>
    <col min="1" max="1" width="5.7265625" style="14" customWidth="1"/>
    <col min="2" max="2" width="28.1796875" style="16" bestFit="1"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132</v>
      </c>
    </row>
    <row r="5" spans="2:5" ht="15.5" x14ac:dyDescent="0.35">
      <c r="B5" s="22" t="s">
        <v>39</v>
      </c>
      <c r="C5" s="23" t="s">
        <v>138</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50</v>
      </c>
      <c r="C9" s="19" t="s">
        <v>166</v>
      </c>
      <c r="D9" s="21" t="s">
        <v>67</v>
      </c>
      <c r="E9" s="17" t="s">
        <v>71</v>
      </c>
    </row>
    <row r="10" spans="2:5" ht="145" x14ac:dyDescent="0.35">
      <c r="B10" s="19" t="s">
        <v>139</v>
      </c>
      <c r="C10" s="20" t="s">
        <v>168</v>
      </c>
      <c r="D10" s="21" t="s">
        <v>67</v>
      </c>
      <c r="E10" s="17" t="s">
        <v>149</v>
      </c>
    </row>
    <row r="11" spans="2:5" ht="43.5" x14ac:dyDescent="0.35">
      <c r="B11" s="19" t="s">
        <v>144</v>
      </c>
      <c r="C11" s="20" t="s">
        <v>169</v>
      </c>
      <c r="D11" s="21" t="s">
        <v>67</v>
      </c>
      <c r="E11" s="17" t="s">
        <v>170</v>
      </c>
    </row>
    <row r="12" spans="2:5" ht="43.5" x14ac:dyDescent="0.35">
      <c r="B12" s="19" t="s">
        <v>145</v>
      </c>
      <c r="C12" s="20" t="s">
        <v>171</v>
      </c>
      <c r="D12" s="21" t="s">
        <v>67</v>
      </c>
      <c r="E12" s="17" t="s">
        <v>71</v>
      </c>
    </row>
    <row r="13" spans="2:5" ht="50.25" customHeight="1" x14ac:dyDescent="0.35">
      <c r="B13" s="19" t="s">
        <v>172</v>
      </c>
      <c r="C13" s="20" t="s">
        <v>184</v>
      </c>
      <c r="D13" s="21" t="s">
        <v>67</v>
      </c>
      <c r="E13" s="17" t="s">
        <v>188</v>
      </c>
    </row>
    <row r="14" spans="2:5" ht="82.5" customHeight="1" x14ac:dyDescent="0.35">
      <c r="B14" s="19" t="s">
        <v>175</v>
      </c>
      <c r="C14" s="20" t="s">
        <v>183</v>
      </c>
      <c r="D14" s="21" t="s">
        <v>67</v>
      </c>
      <c r="E14" s="17" t="s">
        <v>188</v>
      </c>
    </row>
    <row r="15" spans="2:5" ht="89.25" customHeight="1" x14ac:dyDescent="0.35">
      <c r="B15" s="19" t="s">
        <v>173</v>
      </c>
      <c r="C15" s="20" t="s">
        <v>187</v>
      </c>
      <c r="D15" s="21" t="s">
        <v>67</v>
      </c>
      <c r="E15" s="17" t="s">
        <v>188</v>
      </c>
    </row>
    <row r="16" spans="2:5" ht="43.5" x14ac:dyDescent="0.35">
      <c r="B16" s="19" t="s">
        <v>174</v>
      </c>
      <c r="C16" s="20" t="s">
        <v>185</v>
      </c>
      <c r="D16" s="21" t="s">
        <v>67</v>
      </c>
      <c r="E16" s="17" t="s">
        <v>188</v>
      </c>
    </row>
    <row r="17" spans="2:5" ht="72.75" customHeight="1" x14ac:dyDescent="0.35">
      <c r="B17" s="19" t="s">
        <v>182</v>
      </c>
      <c r="C17" s="20" t="s">
        <v>186</v>
      </c>
      <c r="D17" s="21" t="s">
        <v>67</v>
      </c>
      <c r="E17" s="17" t="s">
        <v>188</v>
      </c>
    </row>
    <row r="18" spans="2:5" ht="29" x14ac:dyDescent="0.35">
      <c r="B18" s="19" t="s">
        <v>176</v>
      </c>
      <c r="C18" s="20" t="s">
        <v>189</v>
      </c>
      <c r="D18" s="21" t="s">
        <v>67</v>
      </c>
      <c r="E18" s="17" t="s">
        <v>188</v>
      </c>
    </row>
    <row r="19" spans="2:5" ht="29" x14ac:dyDescent="0.35">
      <c r="B19" s="19" t="s">
        <v>177</v>
      </c>
      <c r="C19" s="20" t="s">
        <v>190</v>
      </c>
      <c r="D19" s="21" t="s">
        <v>67</v>
      </c>
      <c r="E19" s="17" t="s">
        <v>191</v>
      </c>
    </row>
    <row r="20" spans="2:5" x14ac:dyDescent="0.35">
      <c r="B20" s="19" t="s">
        <v>178</v>
      </c>
      <c r="C20" s="20" t="s">
        <v>192</v>
      </c>
      <c r="D20" s="21" t="s">
        <v>158</v>
      </c>
      <c r="E20" s="17" t="s">
        <v>71</v>
      </c>
    </row>
    <row r="21" spans="2:5" x14ac:dyDescent="0.35">
      <c r="B21" s="19" t="s">
        <v>179</v>
      </c>
      <c r="C21" s="20" t="s">
        <v>193</v>
      </c>
      <c r="D21" s="21" t="s">
        <v>158</v>
      </c>
      <c r="E21" s="17" t="s">
        <v>71</v>
      </c>
    </row>
    <row r="22" spans="2:5" ht="30" customHeight="1" x14ac:dyDescent="0.35">
      <c r="B22" s="19" t="s">
        <v>180</v>
      </c>
      <c r="C22" s="20" t="s">
        <v>194</v>
      </c>
      <c r="D22" s="21" t="s">
        <v>158</v>
      </c>
      <c r="E22" s="17" t="s">
        <v>71</v>
      </c>
    </row>
    <row r="23" spans="2:5" x14ac:dyDescent="0.35">
      <c r="B23" s="19" t="s">
        <v>181</v>
      </c>
      <c r="C23" s="20" t="s">
        <v>195</v>
      </c>
      <c r="D23" s="21" t="s">
        <v>158</v>
      </c>
      <c r="E23" s="17" t="s">
        <v>71</v>
      </c>
    </row>
    <row r="24" spans="2:5" ht="29" x14ac:dyDescent="0.35">
      <c r="B24" s="19" t="s">
        <v>162</v>
      </c>
      <c r="C24" s="20" t="s">
        <v>165</v>
      </c>
      <c r="D24" s="21" t="s">
        <v>68</v>
      </c>
      <c r="E24" s="17" t="s">
        <v>71</v>
      </c>
    </row>
    <row r="25" spans="2:5" ht="29" x14ac:dyDescent="0.35">
      <c r="B25" s="19" t="s">
        <v>163</v>
      </c>
      <c r="C25" s="20" t="s">
        <v>164</v>
      </c>
      <c r="D25" s="21" t="s">
        <v>68</v>
      </c>
      <c r="E25" s="17" t="s">
        <v>71</v>
      </c>
    </row>
  </sheetData>
  <hyperlinks>
    <hyperlink ref="B2" location="Respositorio_Capas!A1" display="INICIO" xr:uid="{6F4F3937-F951-437F-AE44-D6AED6216B9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DDA9-248D-4445-99D3-09779AC080D7}">
  <dimension ref="B2:E19"/>
  <sheetViews>
    <sheetView zoomScale="70" zoomScaleNormal="70" workbookViewId="0">
      <selection activeCell="C6" sqref="C6"/>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7.54296875" style="14" customWidth="1"/>
    <col min="6" max="6" width="62.7265625" style="14" customWidth="1"/>
    <col min="7" max="16384" width="10.7265625" style="14"/>
  </cols>
  <sheetData>
    <row r="2" spans="2:5" x14ac:dyDescent="0.35">
      <c r="B2" s="44" t="s">
        <v>126</v>
      </c>
    </row>
    <row r="4" spans="2:5" ht="23.5" x14ac:dyDescent="0.35">
      <c r="B4" s="32" t="s">
        <v>37</v>
      </c>
      <c r="C4" s="31" t="s">
        <v>133</v>
      </c>
    </row>
    <row r="5" spans="2:5" ht="31" x14ac:dyDescent="0.35">
      <c r="B5" s="22" t="s">
        <v>39</v>
      </c>
      <c r="C5" s="23" t="s">
        <v>167</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50</v>
      </c>
      <c r="C9" s="19" t="s">
        <v>147</v>
      </c>
      <c r="D9" s="21" t="s">
        <v>67</v>
      </c>
      <c r="E9" s="17" t="s">
        <v>71</v>
      </c>
    </row>
    <row r="10" spans="2:5" ht="145" x14ac:dyDescent="0.35">
      <c r="B10" s="19" t="s">
        <v>139</v>
      </c>
      <c r="C10" s="20" t="s">
        <v>148</v>
      </c>
      <c r="D10" s="21" t="s">
        <v>67</v>
      </c>
      <c r="E10" s="17" t="s">
        <v>149</v>
      </c>
    </row>
    <row r="11" spans="2:5" ht="171" customHeight="1" x14ac:dyDescent="0.35">
      <c r="B11" s="19" t="s">
        <v>151</v>
      </c>
      <c r="C11" s="20" t="s">
        <v>150</v>
      </c>
      <c r="D11" s="21" t="s">
        <v>67</v>
      </c>
      <c r="E11" s="17" t="s">
        <v>152</v>
      </c>
    </row>
    <row r="12" spans="2:5" x14ac:dyDescent="0.35">
      <c r="B12" s="19" t="s">
        <v>140</v>
      </c>
      <c r="C12" s="20" t="s">
        <v>153</v>
      </c>
      <c r="D12" s="21" t="s">
        <v>67</v>
      </c>
      <c r="E12" s="17" t="s">
        <v>71</v>
      </c>
    </row>
    <row r="13" spans="2:5" ht="60" customHeight="1" x14ac:dyDescent="0.35">
      <c r="B13" s="19" t="s">
        <v>141</v>
      </c>
      <c r="C13" s="20" t="s">
        <v>154</v>
      </c>
      <c r="D13" s="21" t="s">
        <v>67</v>
      </c>
      <c r="E13" s="17" t="s">
        <v>71</v>
      </c>
    </row>
    <row r="14" spans="2:5" ht="43.5" x14ac:dyDescent="0.35">
      <c r="B14" s="19" t="s">
        <v>142</v>
      </c>
      <c r="C14" s="19" t="s">
        <v>160</v>
      </c>
      <c r="D14" s="21" t="s">
        <v>158</v>
      </c>
      <c r="E14" s="17" t="s">
        <v>155</v>
      </c>
    </row>
    <row r="15" spans="2:5" x14ac:dyDescent="0.35">
      <c r="B15" s="19" t="s">
        <v>143</v>
      </c>
      <c r="C15" s="17" t="s">
        <v>156</v>
      </c>
      <c r="D15" s="21" t="s">
        <v>158</v>
      </c>
      <c r="E15" s="17" t="s">
        <v>71</v>
      </c>
    </row>
    <row r="16" spans="2:5" ht="29" x14ac:dyDescent="0.35">
      <c r="B16" s="19" t="s">
        <v>144</v>
      </c>
      <c r="C16" s="20" t="s">
        <v>157</v>
      </c>
      <c r="D16" s="21" t="s">
        <v>67</v>
      </c>
      <c r="E16" s="17" t="s">
        <v>159</v>
      </c>
    </row>
    <row r="17" spans="2:5" ht="43.5" x14ac:dyDescent="0.35">
      <c r="B17" s="19" t="s">
        <v>145</v>
      </c>
      <c r="C17" s="20" t="s">
        <v>161</v>
      </c>
      <c r="D17" s="21" t="s">
        <v>67</v>
      </c>
      <c r="E17" s="17" t="s">
        <v>71</v>
      </c>
    </row>
    <row r="18" spans="2:5" ht="29" x14ac:dyDescent="0.35">
      <c r="B18" s="19" t="s">
        <v>162</v>
      </c>
      <c r="C18" s="20" t="s">
        <v>165</v>
      </c>
      <c r="D18" s="21" t="s">
        <v>68</v>
      </c>
      <c r="E18" s="17" t="s">
        <v>71</v>
      </c>
    </row>
    <row r="19" spans="2:5" ht="29" x14ac:dyDescent="0.35">
      <c r="B19" s="19" t="s">
        <v>163</v>
      </c>
      <c r="C19" s="20" t="s">
        <v>164</v>
      </c>
      <c r="D19" s="21" t="s">
        <v>68</v>
      </c>
      <c r="E19" s="17" t="s">
        <v>71</v>
      </c>
    </row>
  </sheetData>
  <hyperlinks>
    <hyperlink ref="B2" location="Respositorio_Capas!A1" display="INICIO" xr:uid="{BE762362-53D7-4CCC-9201-9F14CE4F6A1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ACAA1-DF52-4D55-A277-08CAB6EA0526}">
  <dimension ref="B2:E14"/>
  <sheetViews>
    <sheetView zoomScale="70" zoomScaleNormal="70" workbookViewId="0">
      <selection activeCell="C6" sqref="C6"/>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196</v>
      </c>
    </row>
    <row r="5" spans="2:5" ht="15.5" x14ac:dyDescent="0.35">
      <c r="B5" s="22" t="s">
        <v>39</v>
      </c>
      <c r="C5" s="23" t="s">
        <v>197</v>
      </c>
      <c r="D5" s="24"/>
      <c r="E5" s="25"/>
    </row>
    <row r="6" spans="2:5" ht="31" x14ac:dyDescent="0.35">
      <c r="B6" s="22" t="s">
        <v>40</v>
      </c>
      <c r="C6" s="23" t="s">
        <v>331</v>
      </c>
      <c r="D6" s="24"/>
      <c r="E6" s="33"/>
    </row>
    <row r="7" spans="2:5" ht="15.5" x14ac:dyDescent="0.35">
      <c r="B7" s="27"/>
      <c r="C7" s="28"/>
      <c r="D7" s="24"/>
      <c r="E7" s="25"/>
    </row>
    <row r="8" spans="2:5" ht="15.5" x14ac:dyDescent="0.35">
      <c r="B8" s="29" t="s">
        <v>63</v>
      </c>
      <c r="C8" s="29" t="s">
        <v>64</v>
      </c>
      <c r="D8" s="30" t="s">
        <v>65</v>
      </c>
      <c r="E8" s="29" t="s">
        <v>320</v>
      </c>
    </row>
    <row r="9" spans="2:5" ht="31" customHeight="1" x14ac:dyDescent="0.35">
      <c r="B9" s="19" t="s">
        <v>50</v>
      </c>
      <c r="C9" s="19" t="s">
        <v>198</v>
      </c>
      <c r="D9" s="21" t="s">
        <v>67</v>
      </c>
      <c r="E9" s="17" t="s">
        <v>71</v>
      </c>
    </row>
    <row r="10" spans="2:5" ht="156" customHeight="1" x14ac:dyDescent="0.35">
      <c r="B10" s="19" t="s">
        <v>139</v>
      </c>
      <c r="C10" s="20" t="s">
        <v>199</v>
      </c>
      <c r="D10" s="21" t="s">
        <v>67</v>
      </c>
      <c r="E10" s="17" t="s">
        <v>149</v>
      </c>
    </row>
    <row r="11" spans="2:5" ht="193.5" customHeight="1" x14ac:dyDescent="0.35">
      <c r="B11" s="19" t="s">
        <v>200</v>
      </c>
      <c r="C11" s="20" t="s">
        <v>201</v>
      </c>
      <c r="D11" s="21" t="s">
        <v>67</v>
      </c>
      <c r="E11" s="17" t="s">
        <v>202</v>
      </c>
    </row>
    <row r="12" spans="2:5" ht="31" customHeight="1" x14ac:dyDescent="0.35">
      <c r="B12" s="19" t="s">
        <v>146</v>
      </c>
      <c r="C12" s="20" t="s">
        <v>309</v>
      </c>
      <c r="D12" s="21" t="s">
        <v>68</v>
      </c>
      <c r="E12" s="17" t="s">
        <v>71</v>
      </c>
    </row>
    <row r="13" spans="2:5" ht="31" customHeight="1" x14ac:dyDescent="0.35">
      <c r="B13" s="19" t="s">
        <v>162</v>
      </c>
      <c r="C13" s="20" t="s">
        <v>165</v>
      </c>
      <c r="D13" s="21" t="s">
        <v>68</v>
      </c>
      <c r="E13" s="17" t="s">
        <v>71</v>
      </c>
    </row>
    <row r="14" spans="2:5" ht="31" customHeight="1" x14ac:dyDescent="0.35">
      <c r="B14" s="19" t="s">
        <v>163</v>
      </c>
      <c r="C14" s="20" t="s">
        <v>164</v>
      </c>
      <c r="D14" s="21" t="s">
        <v>68</v>
      </c>
      <c r="E14" s="17" t="s">
        <v>71</v>
      </c>
    </row>
  </sheetData>
  <hyperlinks>
    <hyperlink ref="B2" location="Respositorio_Capas!A1" display="INICIO" xr:uid="{D295010D-EDF5-4594-9358-4A01A2F731A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91CC-1C7A-4582-8E28-F6162040819E}">
  <dimension ref="B2:E15"/>
  <sheetViews>
    <sheetView zoomScale="70" zoomScaleNormal="70" workbookViewId="0"/>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7.54296875" style="14" customWidth="1"/>
    <col min="6" max="6" width="62.7265625" style="14" customWidth="1"/>
    <col min="7" max="16384" width="10.7265625" style="14"/>
  </cols>
  <sheetData>
    <row r="2" spans="2:5" x14ac:dyDescent="0.35">
      <c r="B2" s="44" t="s">
        <v>126</v>
      </c>
    </row>
    <row r="4" spans="2:5" ht="23.5" x14ac:dyDescent="0.35">
      <c r="B4" s="32" t="s">
        <v>37</v>
      </c>
      <c r="C4" s="31" t="s">
        <v>203</v>
      </c>
    </row>
    <row r="5" spans="2:5" ht="15.5" x14ac:dyDescent="0.35">
      <c r="B5" s="22" t="s">
        <v>39</v>
      </c>
      <c r="C5" s="23" t="s">
        <v>205</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162</v>
      </c>
      <c r="C9" s="17" t="s">
        <v>206</v>
      </c>
      <c r="D9" s="21" t="s">
        <v>158</v>
      </c>
      <c r="E9" s="17" t="s">
        <v>71</v>
      </c>
    </row>
    <row r="10" spans="2:5" x14ac:dyDescent="0.35">
      <c r="B10" s="19" t="s">
        <v>50</v>
      </c>
      <c r="C10" s="19" t="s">
        <v>207</v>
      </c>
      <c r="D10" s="21" t="s">
        <v>67</v>
      </c>
      <c r="E10" s="17" t="s">
        <v>71</v>
      </c>
    </row>
    <row r="11" spans="2:5" ht="145" x14ac:dyDescent="0.35">
      <c r="B11" s="19" t="s">
        <v>139</v>
      </c>
      <c r="C11" s="20" t="s">
        <v>204</v>
      </c>
      <c r="D11" s="21" t="s">
        <v>67</v>
      </c>
      <c r="E11" s="17" t="s">
        <v>149</v>
      </c>
    </row>
    <row r="12" spans="2:5" x14ac:dyDescent="0.35">
      <c r="B12" s="19" t="s">
        <v>209</v>
      </c>
      <c r="C12" s="20" t="s">
        <v>208</v>
      </c>
      <c r="D12" s="21" t="s">
        <v>67</v>
      </c>
      <c r="E12" s="17" t="s">
        <v>71</v>
      </c>
    </row>
    <row r="13" spans="2:5" ht="43.5" x14ac:dyDescent="0.35">
      <c r="B13" s="19" t="s">
        <v>146</v>
      </c>
      <c r="C13" s="20" t="s">
        <v>210</v>
      </c>
      <c r="D13" s="21" t="s">
        <v>67</v>
      </c>
      <c r="E13" s="17" t="s">
        <v>155</v>
      </c>
    </row>
    <row r="14" spans="2:5" ht="29" x14ac:dyDescent="0.35">
      <c r="B14" s="19" t="s">
        <v>162</v>
      </c>
      <c r="C14" s="20" t="s">
        <v>165</v>
      </c>
      <c r="D14" s="21" t="s">
        <v>68</v>
      </c>
      <c r="E14" s="17" t="s">
        <v>71</v>
      </c>
    </row>
    <row r="15" spans="2:5" ht="29" x14ac:dyDescent="0.35">
      <c r="B15" s="19" t="s">
        <v>163</v>
      </c>
      <c r="C15" s="20" t="s">
        <v>164</v>
      </c>
      <c r="D15" s="21" t="s">
        <v>68</v>
      </c>
      <c r="E15" s="17" t="s">
        <v>71</v>
      </c>
    </row>
  </sheetData>
  <hyperlinks>
    <hyperlink ref="B2" location="Respositorio_Capas!A1" display="INICIO" xr:uid="{01F02988-6F29-433F-96CC-76808835B05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D469-104E-4C9A-8899-9940E2A08713}">
  <dimension ref="B2:E12"/>
  <sheetViews>
    <sheetView zoomScale="70" zoomScaleNormal="70" workbookViewId="0">
      <selection activeCell="B2" sqref="B2"/>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211</v>
      </c>
    </row>
    <row r="5" spans="2:5" ht="15.5" x14ac:dyDescent="0.35">
      <c r="B5" s="22" t="s">
        <v>39</v>
      </c>
      <c r="C5" s="23" t="s">
        <v>212</v>
      </c>
      <c r="D5" s="24"/>
      <c r="E5" s="25"/>
    </row>
    <row r="6" spans="2:5" ht="31" x14ac:dyDescent="0.35">
      <c r="B6" s="22" t="s">
        <v>40</v>
      </c>
      <c r="C6" s="23" t="s">
        <v>315</v>
      </c>
      <c r="D6" s="24"/>
      <c r="E6" s="33"/>
    </row>
    <row r="7" spans="2:5" ht="15.5" x14ac:dyDescent="0.35">
      <c r="B7" s="27"/>
      <c r="C7" s="28"/>
      <c r="D7" s="24"/>
      <c r="E7" s="25"/>
    </row>
    <row r="8" spans="2:5" ht="15.5" x14ac:dyDescent="0.35">
      <c r="B8" s="29" t="s">
        <v>63</v>
      </c>
      <c r="C8" s="29" t="s">
        <v>64</v>
      </c>
      <c r="D8" s="30" t="s">
        <v>65</v>
      </c>
      <c r="E8" s="29" t="s">
        <v>320</v>
      </c>
    </row>
    <row r="9" spans="2:5" x14ac:dyDescent="0.35">
      <c r="B9" s="19" t="s">
        <v>50</v>
      </c>
      <c r="C9" s="19" t="s">
        <v>213</v>
      </c>
      <c r="D9" s="21" t="s">
        <v>67</v>
      </c>
      <c r="E9" s="17" t="s">
        <v>71</v>
      </c>
    </row>
    <row r="10" spans="2:5" ht="72.5" x14ac:dyDescent="0.35">
      <c r="B10" s="19" t="s">
        <v>146</v>
      </c>
      <c r="C10" s="19" t="s">
        <v>214</v>
      </c>
      <c r="D10" s="21" t="s">
        <v>67</v>
      </c>
      <c r="E10" s="17" t="s">
        <v>215</v>
      </c>
    </row>
    <row r="11" spans="2:5" ht="29" x14ac:dyDescent="0.35">
      <c r="B11" s="19" t="s">
        <v>162</v>
      </c>
      <c r="C11" s="20" t="s">
        <v>165</v>
      </c>
      <c r="D11" s="21" t="s">
        <v>68</v>
      </c>
      <c r="E11" s="17" t="s">
        <v>71</v>
      </c>
    </row>
    <row r="12" spans="2:5" ht="29" x14ac:dyDescent="0.35">
      <c r="B12" s="19" t="s">
        <v>163</v>
      </c>
      <c r="C12" s="20" t="s">
        <v>164</v>
      </c>
      <c r="D12" s="21" t="s">
        <v>68</v>
      </c>
      <c r="E12" s="17" t="s">
        <v>71</v>
      </c>
    </row>
  </sheetData>
  <hyperlinks>
    <hyperlink ref="B2" location="Respositorio_Capas!A1" display="INICIO" xr:uid="{6C81F582-63DB-43EA-AF7D-9AE6080098A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53E4-A6D4-4B05-BF70-0CF60E8EEA57}">
  <dimension ref="B2:E11"/>
  <sheetViews>
    <sheetView zoomScale="85" zoomScaleNormal="85" workbookViewId="0">
      <selection activeCell="B8" sqref="B8"/>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218</v>
      </c>
    </row>
    <row r="5" spans="2:5" ht="15.5" x14ac:dyDescent="0.35">
      <c r="B5" s="22" t="s">
        <v>39</v>
      </c>
      <c r="C5" s="23" t="s">
        <v>219</v>
      </c>
      <c r="D5" s="24"/>
      <c r="E5" s="25"/>
    </row>
    <row r="6" spans="2:5" ht="31" x14ac:dyDescent="0.35">
      <c r="B6" s="22" t="s">
        <v>40</v>
      </c>
      <c r="C6" s="23" t="s">
        <v>331</v>
      </c>
      <c r="D6" s="24"/>
      <c r="E6" s="33"/>
    </row>
    <row r="7" spans="2:5" ht="15.5" x14ac:dyDescent="0.35">
      <c r="B7" s="27"/>
      <c r="C7" s="28"/>
      <c r="D7" s="24"/>
      <c r="E7" s="25"/>
    </row>
    <row r="8" spans="2:5" ht="15.5" x14ac:dyDescent="0.35">
      <c r="B8" s="29" t="s">
        <v>63</v>
      </c>
      <c r="C8" s="29" t="s">
        <v>64</v>
      </c>
      <c r="D8" s="30" t="s">
        <v>65</v>
      </c>
      <c r="E8" s="29" t="s">
        <v>320</v>
      </c>
    </row>
    <row r="9" spans="2:5" ht="46.5" x14ac:dyDescent="0.35">
      <c r="B9" s="45" t="s">
        <v>220</v>
      </c>
      <c r="C9" s="45" t="s">
        <v>221</v>
      </c>
      <c r="D9" s="38" t="s">
        <v>67</v>
      </c>
      <c r="E9" s="46" t="s">
        <v>222</v>
      </c>
    </row>
    <row r="10" spans="2:5" x14ac:dyDescent="0.35">
      <c r="B10" s="34" t="s">
        <v>223</v>
      </c>
      <c r="C10" s="34" t="s">
        <v>224</v>
      </c>
      <c r="D10" s="38" t="s">
        <v>67</v>
      </c>
      <c r="E10" s="36" t="s">
        <v>71</v>
      </c>
    </row>
    <row r="11" spans="2:5" x14ac:dyDescent="0.35">
      <c r="B11" s="34" t="s">
        <v>225</v>
      </c>
      <c r="C11" s="34" t="s">
        <v>226</v>
      </c>
      <c r="D11" s="38" t="s">
        <v>67</v>
      </c>
      <c r="E11" s="36" t="s">
        <v>71</v>
      </c>
    </row>
  </sheetData>
  <hyperlinks>
    <hyperlink ref="B2" location="Respositorio_Capas!A1" display="INICIO" xr:uid="{82A36E48-EA0C-42A1-84A3-36F4116950D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4527-9771-4EA3-AEEB-D4D1BE4115C7}">
  <dimension ref="B2:E48"/>
  <sheetViews>
    <sheetView zoomScale="85" zoomScaleNormal="85" workbookViewId="0">
      <selection activeCell="B11" sqref="B11"/>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37</v>
      </c>
      <c r="C4" s="31" t="s">
        <v>307</v>
      </c>
    </row>
    <row r="5" spans="2:5" ht="46.5" x14ac:dyDescent="0.35">
      <c r="B5" s="22" t="s">
        <v>39</v>
      </c>
      <c r="C5" s="23" t="s">
        <v>308</v>
      </c>
      <c r="D5" s="24"/>
      <c r="E5" s="25"/>
    </row>
    <row r="6" spans="2:5" ht="31" x14ac:dyDescent="0.35">
      <c r="B6" s="22" t="s">
        <v>40</v>
      </c>
      <c r="C6" s="23" t="s">
        <v>330</v>
      </c>
      <c r="D6" s="24"/>
      <c r="E6" s="33"/>
    </row>
    <row r="7" spans="2:5" ht="15.5" x14ac:dyDescent="0.35">
      <c r="B7" s="27"/>
      <c r="C7" s="28"/>
      <c r="D7" s="24"/>
      <c r="E7" s="25"/>
    </row>
    <row r="8" spans="2:5" ht="15.5" x14ac:dyDescent="0.35">
      <c r="B8" s="29" t="s">
        <v>63</v>
      </c>
      <c r="C8" s="29" t="s">
        <v>64</v>
      </c>
      <c r="D8" s="30" t="s">
        <v>65</v>
      </c>
      <c r="E8" s="29" t="s">
        <v>320</v>
      </c>
    </row>
    <row r="9" spans="2:5" ht="58" x14ac:dyDescent="0.35">
      <c r="B9" s="48" t="s">
        <v>227</v>
      </c>
      <c r="C9" s="35" t="s">
        <v>260</v>
      </c>
      <c r="D9" s="38" t="s">
        <v>67</v>
      </c>
      <c r="E9" s="36" t="s">
        <v>261</v>
      </c>
    </row>
    <row r="10" spans="2:5" s="47" customFormat="1" ht="101.5" x14ac:dyDescent="0.35">
      <c r="B10" s="49" t="s">
        <v>228</v>
      </c>
      <c r="C10" s="35" t="s">
        <v>262</v>
      </c>
      <c r="D10" s="38" t="s">
        <v>67</v>
      </c>
      <c r="E10" s="36" t="s">
        <v>263</v>
      </c>
    </row>
    <row r="11" spans="2:5" ht="101.5" x14ac:dyDescent="0.35">
      <c r="B11" s="57" t="s">
        <v>366</v>
      </c>
      <c r="C11" s="35" t="s">
        <v>264</v>
      </c>
      <c r="D11" s="38" t="s">
        <v>67</v>
      </c>
      <c r="E11" s="36" t="s">
        <v>265</v>
      </c>
    </row>
    <row r="12" spans="2:5" ht="319" x14ac:dyDescent="0.35">
      <c r="B12" s="49" t="s">
        <v>229</v>
      </c>
      <c r="C12" s="36" t="s">
        <v>266</v>
      </c>
      <c r="D12" s="38" t="s">
        <v>67</v>
      </c>
      <c r="E12" s="36" t="s">
        <v>267</v>
      </c>
    </row>
    <row r="13" spans="2:5" ht="319" x14ac:dyDescent="0.35">
      <c r="B13" s="48" t="s">
        <v>230</v>
      </c>
      <c r="C13" s="36" t="s">
        <v>268</v>
      </c>
      <c r="D13" s="38" t="s">
        <v>67</v>
      </c>
      <c r="E13" s="36" t="s">
        <v>269</v>
      </c>
    </row>
    <row r="14" spans="2:5" x14ac:dyDescent="0.35">
      <c r="B14" s="48" t="s">
        <v>231</v>
      </c>
      <c r="C14" s="34" t="s">
        <v>270</v>
      </c>
      <c r="D14" s="38" t="s">
        <v>67</v>
      </c>
      <c r="E14" s="37" t="s">
        <v>71</v>
      </c>
    </row>
    <row r="15" spans="2:5" x14ac:dyDescent="0.35">
      <c r="B15" s="48" t="s">
        <v>232</v>
      </c>
      <c r="C15" s="34" t="s">
        <v>271</v>
      </c>
      <c r="D15" s="38" t="s">
        <v>67</v>
      </c>
      <c r="E15" s="37" t="s">
        <v>71</v>
      </c>
    </row>
    <row r="16" spans="2:5" x14ac:dyDescent="0.35">
      <c r="B16" s="48" t="s">
        <v>233</v>
      </c>
      <c r="C16" s="34" t="s">
        <v>216</v>
      </c>
      <c r="D16" s="38" t="s">
        <v>67</v>
      </c>
      <c r="E16" s="36" t="s">
        <v>71</v>
      </c>
    </row>
    <row r="17" spans="2:5" x14ac:dyDescent="0.35">
      <c r="B17" s="48" t="s">
        <v>234</v>
      </c>
      <c r="C17" s="34" t="s">
        <v>217</v>
      </c>
      <c r="D17" s="38" t="s">
        <v>67</v>
      </c>
      <c r="E17" s="36" t="s">
        <v>71</v>
      </c>
    </row>
    <row r="18" spans="2:5" x14ac:dyDescent="0.35">
      <c r="B18" s="48" t="s">
        <v>235</v>
      </c>
      <c r="C18" s="34" t="s">
        <v>224</v>
      </c>
      <c r="D18" s="38" t="s">
        <v>67</v>
      </c>
      <c r="E18" s="36" t="s">
        <v>71</v>
      </c>
    </row>
    <row r="19" spans="2:5" x14ac:dyDescent="0.35">
      <c r="B19" s="48" t="s">
        <v>236</v>
      </c>
      <c r="C19" s="34" t="s">
        <v>226</v>
      </c>
      <c r="D19" s="38" t="s">
        <v>67</v>
      </c>
      <c r="E19" s="36" t="s">
        <v>71</v>
      </c>
    </row>
    <row r="20" spans="2:5" x14ac:dyDescent="0.35">
      <c r="B20" s="50" t="s">
        <v>237</v>
      </c>
      <c r="C20" s="51" t="s">
        <v>280</v>
      </c>
      <c r="D20" s="52" t="s">
        <v>68</v>
      </c>
      <c r="E20" s="37" t="s">
        <v>71</v>
      </c>
    </row>
    <row r="21" spans="2:5" x14ac:dyDescent="0.35">
      <c r="B21" s="50" t="s">
        <v>238</v>
      </c>
      <c r="C21" s="51" t="s">
        <v>281</v>
      </c>
      <c r="D21" s="52" t="s">
        <v>68</v>
      </c>
      <c r="E21" s="37" t="s">
        <v>71</v>
      </c>
    </row>
    <row r="22" spans="2:5" x14ac:dyDescent="0.35">
      <c r="B22" s="50" t="s">
        <v>239</v>
      </c>
      <c r="C22" s="51" t="s">
        <v>272</v>
      </c>
      <c r="D22" s="52" t="s">
        <v>68</v>
      </c>
      <c r="E22" s="37" t="s">
        <v>71</v>
      </c>
    </row>
    <row r="23" spans="2:5" x14ac:dyDescent="0.35">
      <c r="B23" s="50" t="s">
        <v>240</v>
      </c>
      <c r="C23" s="51" t="s">
        <v>273</v>
      </c>
      <c r="D23" s="52" t="s">
        <v>68</v>
      </c>
      <c r="E23" s="37" t="s">
        <v>71</v>
      </c>
    </row>
    <row r="24" spans="2:5" x14ac:dyDescent="0.35">
      <c r="B24" s="50" t="s">
        <v>241</v>
      </c>
      <c r="C24" s="51" t="s">
        <v>274</v>
      </c>
      <c r="D24" s="52" t="s">
        <v>68</v>
      </c>
      <c r="E24" s="37" t="s">
        <v>71</v>
      </c>
    </row>
    <row r="25" spans="2:5" x14ac:dyDescent="0.35">
      <c r="B25" s="50" t="s">
        <v>242</v>
      </c>
      <c r="C25" s="51" t="s">
        <v>275</v>
      </c>
      <c r="D25" s="52" t="s">
        <v>68</v>
      </c>
      <c r="E25" s="37" t="s">
        <v>71</v>
      </c>
    </row>
    <row r="26" spans="2:5" x14ac:dyDescent="0.35">
      <c r="B26" s="50" t="s">
        <v>243</v>
      </c>
      <c r="C26" s="51" t="s">
        <v>282</v>
      </c>
      <c r="D26" s="52" t="s">
        <v>68</v>
      </c>
      <c r="E26" s="37" t="s">
        <v>71</v>
      </c>
    </row>
    <row r="27" spans="2:5" x14ac:dyDescent="0.35">
      <c r="B27" s="50" t="s">
        <v>244</v>
      </c>
      <c r="C27" s="51" t="s">
        <v>283</v>
      </c>
      <c r="D27" s="52" t="s">
        <v>68</v>
      </c>
      <c r="E27" s="37" t="s">
        <v>71</v>
      </c>
    </row>
    <row r="28" spans="2:5" x14ac:dyDescent="0.35">
      <c r="B28" s="50" t="s">
        <v>245</v>
      </c>
      <c r="C28" s="51" t="s">
        <v>276</v>
      </c>
      <c r="D28" s="52" t="s">
        <v>68</v>
      </c>
      <c r="E28" s="37" t="s">
        <v>71</v>
      </c>
    </row>
    <row r="29" spans="2:5" x14ac:dyDescent="0.35">
      <c r="B29" s="50" t="s">
        <v>246</v>
      </c>
      <c r="C29" s="51" t="s">
        <v>277</v>
      </c>
      <c r="D29" s="52" t="s">
        <v>68</v>
      </c>
      <c r="E29" s="37" t="s">
        <v>71</v>
      </c>
    </row>
    <row r="30" spans="2:5" x14ac:dyDescent="0.35">
      <c r="B30" s="50" t="s">
        <v>247</v>
      </c>
      <c r="C30" s="51" t="s">
        <v>278</v>
      </c>
      <c r="D30" s="52" t="s">
        <v>68</v>
      </c>
      <c r="E30" s="37" t="s">
        <v>71</v>
      </c>
    </row>
    <row r="31" spans="2:5" x14ac:dyDescent="0.35">
      <c r="B31" s="50" t="s">
        <v>248</v>
      </c>
      <c r="C31" s="51" t="s">
        <v>279</v>
      </c>
      <c r="D31" s="52" t="s">
        <v>68</v>
      </c>
      <c r="E31" s="37" t="s">
        <v>71</v>
      </c>
    </row>
    <row r="32" spans="2:5" x14ac:dyDescent="0.35">
      <c r="B32" s="48" t="s">
        <v>249</v>
      </c>
      <c r="C32" s="51" t="s">
        <v>284</v>
      </c>
      <c r="D32" s="52" t="s">
        <v>68</v>
      </c>
      <c r="E32" s="37" t="s">
        <v>71</v>
      </c>
    </row>
    <row r="33" spans="2:5" x14ac:dyDescent="0.35">
      <c r="B33" s="48" t="s">
        <v>250</v>
      </c>
      <c r="C33" s="51" t="s">
        <v>286</v>
      </c>
      <c r="D33" s="52" t="s">
        <v>68</v>
      </c>
      <c r="E33" s="37" t="s">
        <v>71</v>
      </c>
    </row>
    <row r="34" spans="2:5" x14ac:dyDescent="0.35">
      <c r="B34" s="48" t="s">
        <v>251</v>
      </c>
      <c r="C34" s="51" t="s">
        <v>285</v>
      </c>
      <c r="D34" s="52" t="s">
        <v>68</v>
      </c>
      <c r="E34" s="37" t="s">
        <v>71</v>
      </c>
    </row>
    <row r="35" spans="2:5" x14ac:dyDescent="0.35">
      <c r="B35" s="50" t="s">
        <v>252</v>
      </c>
      <c r="C35" s="51" t="s">
        <v>287</v>
      </c>
      <c r="D35" s="52" t="s">
        <v>68</v>
      </c>
      <c r="E35" s="37" t="s">
        <v>71</v>
      </c>
    </row>
    <row r="36" spans="2:5" x14ac:dyDescent="0.35">
      <c r="B36" s="50" t="s">
        <v>253</v>
      </c>
      <c r="C36" s="51" t="s">
        <v>288</v>
      </c>
      <c r="D36" s="52" t="s">
        <v>68</v>
      </c>
      <c r="E36" s="37" t="s">
        <v>71</v>
      </c>
    </row>
    <row r="37" spans="2:5" x14ac:dyDescent="0.35">
      <c r="B37" s="50" t="s">
        <v>254</v>
      </c>
      <c r="C37" s="51" t="s">
        <v>289</v>
      </c>
      <c r="D37" s="52" t="s">
        <v>68</v>
      </c>
      <c r="E37" s="37" t="s">
        <v>71</v>
      </c>
    </row>
    <row r="38" spans="2:5" x14ac:dyDescent="0.35">
      <c r="B38" s="50" t="s">
        <v>255</v>
      </c>
      <c r="C38" s="51" t="s">
        <v>290</v>
      </c>
      <c r="D38" s="52" t="s">
        <v>68</v>
      </c>
      <c r="E38" s="37" t="s">
        <v>71</v>
      </c>
    </row>
    <row r="39" spans="2:5" x14ac:dyDescent="0.35">
      <c r="B39" s="50" t="s">
        <v>256</v>
      </c>
      <c r="C39" s="51" t="s">
        <v>291</v>
      </c>
      <c r="D39" s="52" t="s">
        <v>68</v>
      </c>
      <c r="E39" s="37" t="s">
        <v>71</v>
      </c>
    </row>
    <row r="40" spans="2:5" x14ac:dyDescent="0.35">
      <c r="B40" s="50" t="s">
        <v>257</v>
      </c>
      <c r="C40" s="51" t="s">
        <v>292</v>
      </c>
      <c r="D40" s="52" t="s">
        <v>68</v>
      </c>
      <c r="E40" s="37" t="s">
        <v>71</v>
      </c>
    </row>
    <row r="41" spans="2:5" ht="43.5" x14ac:dyDescent="0.35">
      <c r="B41" s="48" t="s">
        <v>49</v>
      </c>
      <c r="C41" s="35" t="s">
        <v>293</v>
      </c>
      <c r="D41" s="38" t="s">
        <v>67</v>
      </c>
      <c r="E41" s="37" t="s">
        <v>71</v>
      </c>
    </row>
    <row r="42" spans="2:5" x14ac:dyDescent="0.35">
      <c r="B42" s="48" t="s">
        <v>50</v>
      </c>
      <c r="C42" s="34" t="s">
        <v>294</v>
      </c>
      <c r="D42" s="38" t="s">
        <v>67</v>
      </c>
      <c r="E42" s="37" t="s">
        <v>71</v>
      </c>
    </row>
    <row r="43" spans="2:5" ht="43.5" x14ac:dyDescent="0.35">
      <c r="B43" s="48" t="s">
        <v>43</v>
      </c>
      <c r="C43" s="35" t="s">
        <v>44</v>
      </c>
      <c r="D43" s="38" t="s">
        <v>67</v>
      </c>
      <c r="E43" s="36" t="s">
        <v>69</v>
      </c>
    </row>
    <row r="44" spans="2:5" ht="145" x14ac:dyDescent="0.35">
      <c r="B44" s="34" t="s">
        <v>51</v>
      </c>
      <c r="C44" s="34" t="s">
        <v>60</v>
      </c>
      <c r="D44" s="38" t="s">
        <v>67</v>
      </c>
      <c r="E44" s="36" t="s">
        <v>73</v>
      </c>
    </row>
    <row r="45" spans="2:5" x14ac:dyDescent="0.35">
      <c r="B45" s="34" t="s">
        <v>39</v>
      </c>
      <c r="C45" s="34" t="s">
        <v>61</v>
      </c>
      <c r="D45" s="38" t="s">
        <v>67</v>
      </c>
      <c r="E45" s="37" t="s">
        <v>71</v>
      </c>
    </row>
    <row r="46" spans="2:5" x14ac:dyDescent="0.35">
      <c r="B46" s="48" t="s">
        <v>258</v>
      </c>
      <c r="C46" s="34" t="s">
        <v>294</v>
      </c>
      <c r="D46" s="38" t="s">
        <v>67</v>
      </c>
      <c r="E46" s="37" t="s">
        <v>71</v>
      </c>
    </row>
    <row r="47" spans="2:5" ht="159.5" x14ac:dyDescent="0.35">
      <c r="B47" s="34" t="s">
        <v>52</v>
      </c>
      <c r="C47" s="34" t="s">
        <v>62</v>
      </c>
      <c r="D47" s="38" t="s">
        <v>67</v>
      </c>
      <c r="E47" s="36" t="s">
        <v>74</v>
      </c>
    </row>
    <row r="48" spans="2:5" x14ac:dyDescent="0.35">
      <c r="B48" s="50" t="s">
        <v>259</v>
      </c>
      <c r="C48" s="51" t="s">
        <v>295</v>
      </c>
      <c r="D48" s="52" t="s">
        <v>68</v>
      </c>
      <c r="E48" s="51" t="s">
        <v>71</v>
      </c>
    </row>
  </sheetData>
  <phoneticPr fontId="4" type="noConversion"/>
  <hyperlinks>
    <hyperlink ref="B2" location="Respositorio_Capas!A1" display="INICIO" xr:uid="{22795469-E88E-4846-AD16-F6E3578E2FB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3787-1A4E-4CDE-9134-1F563E5AF1B9}">
  <dimension ref="B2:E15"/>
  <sheetViews>
    <sheetView topLeftCell="A2" zoomScale="85" zoomScaleNormal="85" workbookViewId="0">
      <selection activeCell="B11" sqref="B11"/>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347</v>
      </c>
      <c r="C4" s="31" t="s">
        <v>321</v>
      </c>
    </row>
    <row r="5" spans="2:5" ht="46.5" x14ac:dyDescent="0.35">
      <c r="B5" s="22" t="s">
        <v>39</v>
      </c>
      <c r="C5" s="23" t="s">
        <v>325</v>
      </c>
      <c r="D5" s="24"/>
      <c r="E5" s="25"/>
    </row>
    <row r="6" spans="2:5" ht="15.5" x14ac:dyDescent="0.35">
      <c r="B6" s="22" t="s">
        <v>40</v>
      </c>
      <c r="C6" s="26" t="s">
        <v>324</v>
      </c>
      <c r="D6" s="24"/>
      <c r="E6" s="33"/>
    </row>
    <row r="7" spans="2:5" ht="15.5" x14ac:dyDescent="0.35">
      <c r="B7" s="27"/>
      <c r="C7" s="28"/>
      <c r="D7" s="24"/>
      <c r="E7" s="25"/>
    </row>
    <row r="8" spans="2:5" ht="15.5" x14ac:dyDescent="0.35">
      <c r="B8" s="29" t="s">
        <v>63</v>
      </c>
      <c r="C8" s="29" t="s">
        <v>64</v>
      </c>
      <c r="D8" s="30" t="s">
        <v>65</v>
      </c>
      <c r="E8" s="29" t="s">
        <v>320</v>
      </c>
    </row>
    <row r="9" spans="2:5" ht="43.5" x14ac:dyDescent="0.35">
      <c r="B9" s="57" t="s">
        <v>220</v>
      </c>
      <c r="C9" s="35" t="s">
        <v>326</v>
      </c>
      <c r="D9" s="58" t="s">
        <v>67</v>
      </c>
      <c r="E9" s="36"/>
    </row>
    <row r="10" spans="2:5" s="47" customFormat="1" ht="101.5" x14ac:dyDescent="0.35">
      <c r="B10" s="59" t="s">
        <v>228</v>
      </c>
      <c r="C10" s="35" t="s">
        <v>327</v>
      </c>
      <c r="D10" s="58" t="s">
        <v>67</v>
      </c>
      <c r="E10" s="36" t="s">
        <v>263</v>
      </c>
    </row>
    <row r="11" spans="2:5" ht="101.5" x14ac:dyDescent="0.35">
      <c r="B11" s="57" t="s">
        <v>366</v>
      </c>
      <c r="C11" s="35" t="s">
        <v>328</v>
      </c>
      <c r="D11" s="58" t="s">
        <v>67</v>
      </c>
      <c r="E11" s="36" t="s">
        <v>265</v>
      </c>
    </row>
    <row r="12" spans="2:5" ht="29" x14ac:dyDescent="0.35">
      <c r="B12" s="59" t="s">
        <v>329</v>
      </c>
      <c r="C12" s="59" t="s">
        <v>336</v>
      </c>
      <c r="D12" s="58" t="s">
        <v>339</v>
      </c>
      <c r="E12" s="36" t="s">
        <v>344</v>
      </c>
    </row>
    <row r="13" spans="2:5" ht="29" x14ac:dyDescent="0.35">
      <c r="B13" s="59" t="s">
        <v>337</v>
      </c>
      <c r="C13" s="59" t="s">
        <v>338</v>
      </c>
      <c r="D13" s="58" t="s">
        <v>339</v>
      </c>
      <c r="E13" s="36" t="s">
        <v>345</v>
      </c>
    </row>
    <row r="14" spans="2:5" ht="72.5" x14ac:dyDescent="0.35">
      <c r="B14" s="59" t="s">
        <v>340</v>
      </c>
      <c r="C14" s="59" t="s">
        <v>342</v>
      </c>
      <c r="D14" s="58" t="s">
        <v>339</v>
      </c>
      <c r="E14" s="36" t="s">
        <v>346</v>
      </c>
    </row>
    <row r="15" spans="2:5" ht="58" x14ac:dyDescent="0.35">
      <c r="B15" s="59" t="s">
        <v>341</v>
      </c>
      <c r="C15" s="59" t="s">
        <v>343</v>
      </c>
      <c r="D15" s="58" t="s">
        <v>339</v>
      </c>
      <c r="E15" s="36" t="s">
        <v>346</v>
      </c>
    </row>
  </sheetData>
  <hyperlinks>
    <hyperlink ref="B2" location="Respositorio_Capas!A1" display="INICIO" xr:uid="{112D0515-2036-4DEB-9144-56B123A1E24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F24D-3ACE-4428-A674-F2FA9AE5BD50}">
  <dimension ref="B2:E15"/>
  <sheetViews>
    <sheetView zoomScale="85" zoomScaleNormal="85" workbookViewId="0">
      <selection activeCell="B11" sqref="B11"/>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347</v>
      </c>
      <c r="C4" s="31" t="s">
        <v>354</v>
      </c>
    </row>
    <row r="5" spans="2:5" ht="62" x14ac:dyDescent="0.35">
      <c r="B5" s="22" t="s">
        <v>39</v>
      </c>
      <c r="C5" s="23" t="s">
        <v>348</v>
      </c>
      <c r="D5" s="24"/>
      <c r="E5" s="25"/>
    </row>
    <row r="6" spans="2:5" ht="15.5" x14ac:dyDescent="0.35">
      <c r="B6" s="22" t="s">
        <v>40</v>
      </c>
      <c r="C6" s="26" t="s">
        <v>324</v>
      </c>
      <c r="D6" s="24"/>
      <c r="E6" s="33"/>
    </row>
    <row r="7" spans="2:5" ht="15.5" x14ac:dyDescent="0.35">
      <c r="B7" s="27"/>
      <c r="C7" s="28"/>
      <c r="D7" s="24"/>
      <c r="E7" s="25"/>
    </row>
    <row r="8" spans="2:5" ht="15.5" x14ac:dyDescent="0.35">
      <c r="B8" s="29" t="s">
        <v>63</v>
      </c>
      <c r="C8" s="29" t="s">
        <v>64</v>
      </c>
      <c r="D8" s="30" t="s">
        <v>65</v>
      </c>
      <c r="E8" s="29" t="s">
        <v>320</v>
      </c>
    </row>
    <row r="9" spans="2:5" ht="43.5" x14ac:dyDescent="0.35">
      <c r="B9" s="57" t="s">
        <v>220</v>
      </c>
      <c r="C9" s="35" t="s">
        <v>326</v>
      </c>
      <c r="D9" s="58" t="s">
        <v>67</v>
      </c>
      <c r="E9" s="36"/>
    </row>
    <row r="10" spans="2:5" s="47" customFormat="1" ht="101.5" x14ac:dyDescent="0.35">
      <c r="B10" s="59" t="s">
        <v>228</v>
      </c>
      <c r="C10" s="35" t="s">
        <v>327</v>
      </c>
      <c r="D10" s="58" t="s">
        <v>67</v>
      </c>
      <c r="E10" s="36" t="s">
        <v>263</v>
      </c>
    </row>
    <row r="11" spans="2:5" ht="101.5" x14ac:dyDescent="0.35">
      <c r="B11" s="57" t="s">
        <v>366</v>
      </c>
      <c r="C11" s="35" t="s">
        <v>328</v>
      </c>
      <c r="D11" s="58" t="s">
        <v>67</v>
      </c>
      <c r="E11" s="36" t="s">
        <v>265</v>
      </c>
    </row>
    <row r="12" spans="2:5" ht="29" x14ac:dyDescent="0.35">
      <c r="B12" s="59" t="s">
        <v>329</v>
      </c>
      <c r="C12" s="59" t="s">
        <v>336</v>
      </c>
      <c r="D12" s="58" t="s">
        <v>339</v>
      </c>
      <c r="E12" s="36" t="s">
        <v>344</v>
      </c>
    </row>
    <row r="13" spans="2:5" ht="29" x14ac:dyDescent="0.35">
      <c r="B13" s="59" t="s">
        <v>337</v>
      </c>
      <c r="C13" s="59" t="s">
        <v>338</v>
      </c>
      <c r="D13" s="58" t="s">
        <v>339</v>
      </c>
      <c r="E13" s="36" t="s">
        <v>345</v>
      </c>
    </row>
    <row r="14" spans="2:5" ht="72.5" x14ac:dyDescent="0.35">
      <c r="B14" s="59" t="s">
        <v>349</v>
      </c>
      <c r="C14" s="59" t="s">
        <v>351</v>
      </c>
      <c r="D14" s="58" t="s">
        <v>339</v>
      </c>
      <c r="E14" s="36" t="s">
        <v>353</v>
      </c>
    </row>
    <row r="15" spans="2:5" ht="58" x14ac:dyDescent="0.35">
      <c r="B15" s="59" t="s">
        <v>350</v>
      </c>
      <c r="C15" s="59" t="s">
        <v>352</v>
      </c>
      <c r="D15" s="58" t="s">
        <v>339</v>
      </c>
      <c r="E15" s="36" t="s">
        <v>353</v>
      </c>
    </row>
  </sheetData>
  <hyperlinks>
    <hyperlink ref="B2" location="Respositorio_Capas!A1" display="INICIO" xr:uid="{B4B579B7-215F-4009-A71C-DB811BBF3BC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EC35-7B64-4598-B640-9FB0FD33B3DC}">
  <dimension ref="B2:E12"/>
  <sheetViews>
    <sheetView zoomScale="85" zoomScaleNormal="85" workbookViewId="0">
      <selection activeCell="B11" sqref="B11"/>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347</v>
      </c>
      <c r="C4" s="31" t="s">
        <v>355</v>
      </c>
    </row>
    <row r="5" spans="2:5" ht="31" x14ac:dyDescent="0.35">
      <c r="B5" s="22" t="s">
        <v>39</v>
      </c>
      <c r="C5" s="23" t="s">
        <v>356</v>
      </c>
      <c r="D5" s="24"/>
      <c r="E5" s="25"/>
    </row>
    <row r="6" spans="2:5" ht="15.5" x14ac:dyDescent="0.35">
      <c r="B6" s="22" t="s">
        <v>40</v>
      </c>
      <c r="C6" s="26" t="s">
        <v>357</v>
      </c>
      <c r="D6" s="24"/>
      <c r="E6" s="33"/>
    </row>
    <row r="7" spans="2:5" ht="15.5" x14ac:dyDescent="0.35">
      <c r="B7" s="27"/>
      <c r="C7" s="28"/>
      <c r="D7" s="24"/>
      <c r="E7" s="25"/>
    </row>
    <row r="8" spans="2:5" ht="15.5" x14ac:dyDescent="0.35">
      <c r="B8" s="29" t="s">
        <v>63</v>
      </c>
      <c r="C8" s="29" t="s">
        <v>64</v>
      </c>
      <c r="D8" s="30" t="s">
        <v>65</v>
      </c>
      <c r="E8" s="29" t="s">
        <v>320</v>
      </c>
    </row>
    <row r="9" spans="2:5" ht="29" x14ac:dyDescent="0.35">
      <c r="B9" s="57" t="s">
        <v>358</v>
      </c>
      <c r="C9" s="35" t="s">
        <v>359</v>
      </c>
      <c r="D9" s="58" t="s">
        <v>67</v>
      </c>
      <c r="E9" s="36"/>
    </row>
    <row r="10" spans="2:5" s="47" customFormat="1" ht="101.5" x14ac:dyDescent="0.35">
      <c r="B10" s="59" t="s">
        <v>228</v>
      </c>
      <c r="C10" s="35" t="s">
        <v>327</v>
      </c>
      <c r="D10" s="58" t="s">
        <v>67</v>
      </c>
      <c r="E10" s="36" t="s">
        <v>263</v>
      </c>
    </row>
    <row r="11" spans="2:5" ht="101.5" x14ac:dyDescent="0.35">
      <c r="B11" s="57" t="s">
        <v>366</v>
      </c>
      <c r="C11" s="35" t="s">
        <v>328</v>
      </c>
      <c r="D11" s="58" t="s">
        <v>67</v>
      </c>
      <c r="E11" s="36" t="s">
        <v>265</v>
      </c>
    </row>
    <row r="12" spans="2:5" ht="43.5" x14ac:dyDescent="0.35">
      <c r="B12" s="59" t="s">
        <v>360</v>
      </c>
      <c r="C12" s="59" t="s">
        <v>361</v>
      </c>
      <c r="D12" s="58" t="s">
        <v>339</v>
      </c>
      <c r="E12" s="36" t="s">
        <v>362</v>
      </c>
    </row>
  </sheetData>
  <hyperlinks>
    <hyperlink ref="B2" location="Respositorio_Capas!A1" display="INICIO" xr:uid="{F3A8E6D3-4F83-4AD1-8119-573CC75A22A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AF4F-4D21-4539-AFE9-FD367A07A2FB}">
  <dimension ref="B2:E13"/>
  <sheetViews>
    <sheetView zoomScale="85" zoomScaleNormal="85" workbookViewId="0">
      <selection activeCell="E14" sqref="E14"/>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347</v>
      </c>
      <c r="C4" s="31" t="s">
        <v>363</v>
      </c>
    </row>
    <row r="5" spans="2:5" ht="31" x14ac:dyDescent="0.35">
      <c r="B5" s="22" t="s">
        <v>39</v>
      </c>
      <c r="C5" s="23" t="s">
        <v>364</v>
      </c>
      <c r="D5" s="24"/>
      <c r="E5" s="25"/>
    </row>
    <row r="6" spans="2:5" ht="15.5" x14ac:dyDescent="0.35">
      <c r="B6" s="22" t="s">
        <v>40</v>
      </c>
      <c r="C6" s="26" t="s">
        <v>365</v>
      </c>
      <c r="D6" s="24"/>
      <c r="E6" s="33"/>
    </row>
    <row r="7" spans="2:5" ht="15.5" x14ac:dyDescent="0.35">
      <c r="B7" s="27"/>
      <c r="C7" s="28"/>
      <c r="D7" s="24"/>
      <c r="E7" s="25"/>
    </row>
    <row r="8" spans="2:5" ht="15.5" x14ac:dyDescent="0.35">
      <c r="B8" s="29" t="s">
        <v>63</v>
      </c>
      <c r="C8" s="29" t="s">
        <v>64</v>
      </c>
      <c r="D8" s="30" t="s">
        <v>65</v>
      </c>
      <c r="E8" s="29" t="s">
        <v>320</v>
      </c>
    </row>
    <row r="9" spans="2:5" ht="29" x14ac:dyDescent="0.35">
      <c r="B9" s="57" t="s">
        <v>358</v>
      </c>
      <c r="C9" s="35" t="s">
        <v>367</v>
      </c>
      <c r="D9" s="58" t="s">
        <v>67</v>
      </c>
      <c r="E9" s="36" t="s">
        <v>368</v>
      </c>
    </row>
    <row r="10" spans="2:5" s="47" customFormat="1" ht="101.5" x14ac:dyDescent="0.35">
      <c r="B10" s="59" t="s">
        <v>228</v>
      </c>
      <c r="C10" s="35" t="s">
        <v>327</v>
      </c>
      <c r="D10" s="58" t="s">
        <v>67</v>
      </c>
      <c r="E10" s="36" t="s">
        <v>263</v>
      </c>
    </row>
    <row r="11" spans="2:5" ht="101.5" x14ac:dyDescent="0.35">
      <c r="B11" s="57" t="s">
        <v>366</v>
      </c>
      <c r="C11" s="35" t="s">
        <v>328</v>
      </c>
      <c r="D11" s="58" t="s">
        <v>67</v>
      </c>
      <c r="E11" s="36" t="s">
        <v>265</v>
      </c>
    </row>
    <row r="12" spans="2:5" x14ac:dyDescent="0.35">
      <c r="B12" s="59" t="s">
        <v>369</v>
      </c>
      <c r="C12" s="59" t="s">
        <v>370</v>
      </c>
      <c r="D12" s="58" t="s">
        <v>339</v>
      </c>
      <c r="E12" s="36" t="s">
        <v>362</v>
      </c>
    </row>
    <row r="13" spans="2:5" x14ac:dyDescent="0.35">
      <c r="B13" s="59" t="s">
        <v>371</v>
      </c>
      <c r="C13" s="59" t="s">
        <v>372</v>
      </c>
      <c r="D13" s="58" t="s">
        <v>339</v>
      </c>
      <c r="E13" s="36" t="s">
        <v>373</v>
      </c>
    </row>
  </sheetData>
  <hyperlinks>
    <hyperlink ref="B2" location="Respositorio_Capas!A1" display="INICIO" xr:uid="{3618407D-C6EA-4E1C-96DC-F42D8FE32D4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BD97-5B83-46BF-9ACC-42AEF59EB103}">
  <dimension ref="A1:I123"/>
  <sheetViews>
    <sheetView zoomScale="90" zoomScaleNormal="90" workbookViewId="0">
      <selection activeCell="B5" sqref="B5"/>
    </sheetView>
  </sheetViews>
  <sheetFormatPr defaultColWidth="9.1796875" defaultRowHeight="14.5" x14ac:dyDescent="0.35"/>
  <cols>
    <col min="1" max="1" width="17.26953125" style="56" bestFit="1" customWidth="1"/>
    <col min="2" max="2" width="74.453125" style="56" customWidth="1"/>
    <col min="3" max="9" width="17.26953125" style="56" bestFit="1" customWidth="1"/>
  </cols>
  <sheetData>
    <row r="1" spans="1:9" ht="23.5" x14ac:dyDescent="0.35">
      <c r="A1" s="32" t="s">
        <v>508</v>
      </c>
      <c r="B1" s="31" t="s">
        <v>509</v>
      </c>
    </row>
    <row r="2" spans="1:9" ht="62" x14ac:dyDescent="0.35">
      <c r="A2" s="22" t="s">
        <v>39</v>
      </c>
      <c r="B2" s="23" t="s">
        <v>510</v>
      </c>
    </row>
    <row r="3" spans="1:9" ht="31" x14ac:dyDescent="0.35">
      <c r="A3" s="22" t="s">
        <v>40</v>
      </c>
      <c r="B3" s="23" t="s">
        <v>507</v>
      </c>
    </row>
    <row r="5" spans="1:9" ht="15.5" x14ac:dyDescent="0.35">
      <c r="A5" s="66" t="s">
        <v>393</v>
      </c>
      <c r="B5" s="66" t="s">
        <v>394</v>
      </c>
      <c r="C5" s="66"/>
      <c r="D5" s="66"/>
      <c r="E5" s="66"/>
      <c r="F5" s="67"/>
      <c r="G5" s="67"/>
      <c r="I5" s="67"/>
    </row>
    <row r="6" spans="1:9" x14ac:dyDescent="0.35">
      <c r="A6" s="65" t="s">
        <v>395</v>
      </c>
      <c r="B6" s="65" t="s">
        <v>396</v>
      </c>
      <c r="C6" s="65"/>
      <c r="D6" s="65"/>
      <c r="E6" s="65"/>
      <c r="I6" s="65"/>
    </row>
    <row r="7" spans="1:9" x14ac:dyDescent="0.35">
      <c r="A7" s="65" t="s">
        <v>397</v>
      </c>
      <c r="B7" s="65" t="s">
        <v>398</v>
      </c>
      <c r="C7" s="65"/>
      <c r="D7" s="65"/>
      <c r="E7" s="65"/>
      <c r="I7" s="65"/>
    </row>
    <row r="8" spans="1:9" x14ac:dyDescent="0.35">
      <c r="A8" s="65" t="s">
        <v>399</v>
      </c>
      <c r="B8" s="65" t="s">
        <v>400</v>
      </c>
      <c r="C8" s="65"/>
      <c r="D8" s="65"/>
      <c r="E8" s="65"/>
      <c r="I8" s="65"/>
    </row>
    <row r="9" spans="1:9" x14ac:dyDescent="0.35">
      <c r="A9" s="65" t="s">
        <v>401</v>
      </c>
      <c r="B9" s="65" t="s">
        <v>402</v>
      </c>
      <c r="C9" s="65"/>
      <c r="D9" s="65"/>
      <c r="E9" s="65"/>
      <c r="I9" s="65"/>
    </row>
    <row r="10" spans="1:9" x14ac:dyDescent="0.35">
      <c r="A10" s="65" t="s">
        <v>403</v>
      </c>
      <c r="B10" s="65" t="s">
        <v>404</v>
      </c>
      <c r="C10" s="65"/>
      <c r="D10" s="65"/>
      <c r="E10" s="65"/>
      <c r="I10" s="65"/>
    </row>
    <row r="11" spans="1:9" ht="15.5" x14ac:dyDescent="0.35">
      <c r="A11" s="66"/>
      <c r="B11" s="66"/>
      <c r="C11" s="66"/>
      <c r="D11" s="66"/>
      <c r="E11" s="66"/>
      <c r="F11" s="67"/>
      <c r="G11" s="67"/>
    </row>
    <row r="12" spans="1:9" ht="15.5" x14ac:dyDescent="0.35">
      <c r="A12" s="66" t="s">
        <v>405</v>
      </c>
      <c r="B12" s="68" t="s">
        <v>406</v>
      </c>
      <c r="C12" s="65" t="s">
        <v>407</v>
      </c>
      <c r="D12" s="65"/>
      <c r="E12" s="65"/>
    </row>
    <row r="13" spans="1:9" x14ac:dyDescent="0.35">
      <c r="A13" s="65" t="s">
        <v>408</v>
      </c>
      <c r="B13" s="65" t="s">
        <v>409</v>
      </c>
      <c r="C13" s="65"/>
      <c r="D13" s="65"/>
      <c r="E13" s="65"/>
    </row>
    <row r="14" spans="1:9" x14ac:dyDescent="0.35">
      <c r="A14" s="65" t="s">
        <v>410</v>
      </c>
      <c r="B14" s="65" t="s">
        <v>411</v>
      </c>
      <c r="C14" s="65"/>
      <c r="D14" s="65"/>
      <c r="E14" s="65"/>
    </row>
    <row r="15" spans="1:9" x14ac:dyDescent="0.35">
      <c r="A15" s="65"/>
      <c r="B15" s="65"/>
      <c r="C15" s="65"/>
      <c r="D15" s="65"/>
      <c r="E15" s="65"/>
    </row>
    <row r="16" spans="1:9" ht="15.5" x14ac:dyDescent="0.35">
      <c r="A16" s="66" t="s">
        <v>412</v>
      </c>
      <c r="B16" s="68" t="s">
        <v>413</v>
      </c>
      <c r="C16" s="65" t="s">
        <v>414</v>
      </c>
      <c r="D16" s="65"/>
      <c r="E16" s="65"/>
    </row>
    <row r="17" spans="1:8" x14ac:dyDescent="0.35">
      <c r="A17" s="65" t="s">
        <v>415</v>
      </c>
      <c r="B17" s="65" t="s">
        <v>416</v>
      </c>
      <c r="C17" s="65"/>
      <c r="D17" s="65"/>
      <c r="E17" s="65"/>
    </row>
    <row r="18" spans="1:8" x14ac:dyDescent="0.35">
      <c r="A18" s="65" t="s">
        <v>417</v>
      </c>
      <c r="B18" s="65" t="s">
        <v>418</v>
      </c>
      <c r="C18" s="65"/>
      <c r="D18" s="65"/>
      <c r="E18" s="65"/>
    </row>
    <row r="19" spans="1:8" x14ac:dyDescent="0.35">
      <c r="A19" s="65" t="s">
        <v>419</v>
      </c>
      <c r="B19" s="65" t="s">
        <v>420</v>
      </c>
      <c r="C19" s="65"/>
      <c r="D19" s="65"/>
      <c r="E19" s="65"/>
    </row>
    <row r="20" spans="1:8" x14ac:dyDescent="0.35">
      <c r="A20" s="65" t="s">
        <v>421</v>
      </c>
      <c r="B20" s="65" t="s">
        <v>422</v>
      </c>
      <c r="C20" s="65"/>
      <c r="D20" s="65"/>
      <c r="E20" s="65"/>
    </row>
    <row r="21" spans="1:8" s="56" customFormat="1" x14ac:dyDescent="0.35">
      <c r="A21" s="65"/>
      <c r="B21" s="65"/>
      <c r="C21" s="65"/>
      <c r="D21" s="65"/>
      <c r="E21" s="65"/>
    </row>
    <row r="22" spans="1:8" s="56" customFormat="1" x14ac:dyDescent="0.35">
      <c r="A22" s="68" t="s">
        <v>423</v>
      </c>
      <c r="B22" s="68" t="s">
        <v>424</v>
      </c>
      <c r="C22" s="65" t="s">
        <v>414</v>
      </c>
      <c r="D22" s="65"/>
      <c r="E22" s="65"/>
    </row>
    <row r="23" spans="1:8" s="56" customFormat="1" x14ac:dyDescent="0.35">
      <c r="A23" s="65" t="s">
        <v>425</v>
      </c>
      <c r="B23" s="65">
        <v>2050</v>
      </c>
      <c r="C23" s="65" t="s">
        <v>426</v>
      </c>
      <c r="D23" s="65"/>
      <c r="E23" s="65"/>
    </row>
    <row r="24" spans="1:8" s="56" customFormat="1" x14ac:dyDescent="0.35">
      <c r="A24" s="65"/>
      <c r="B24" s="65">
        <v>2080</v>
      </c>
      <c r="C24" s="65" t="s">
        <v>426</v>
      </c>
      <c r="D24" s="65"/>
      <c r="E24" s="65"/>
    </row>
    <row r="25" spans="1:8" s="56" customFormat="1" x14ac:dyDescent="0.35">
      <c r="A25" s="65"/>
      <c r="B25" s="65"/>
      <c r="C25" s="65"/>
      <c r="D25" s="65"/>
      <c r="E25" s="65"/>
    </row>
    <row r="26" spans="1:8" s="56" customFormat="1" ht="15.5" x14ac:dyDescent="0.35">
      <c r="A26" s="66" t="s">
        <v>427</v>
      </c>
      <c r="B26" s="68" t="s">
        <v>428</v>
      </c>
      <c r="C26" s="65"/>
      <c r="D26" s="65"/>
      <c r="E26" s="65"/>
    </row>
    <row r="27" spans="1:8" s="56" customFormat="1" x14ac:dyDescent="0.35">
      <c r="A27" s="65" t="s">
        <v>429</v>
      </c>
      <c r="B27" s="65" t="s">
        <v>430</v>
      </c>
      <c r="C27" s="65"/>
      <c r="D27" s="65"/>
      <c r="E27" s="65"/>
      <c r="F27" s="68" t="s">
        <v>431</v>
      </c>
    </row>
    <row r="28" spans="1:8" s="56" customFormat="1" x14ac:dyDescent="0.35">
      <c r="A28" s="65" t="s">
        <v>432</v>
      </c>
      <c r="B28" s="65" t="s">
        <v>433</v>
      </c>
      <c r="C28" s="65"/>
      <c r="D28" s="65"/>
      <c r="E28" s="65"/>
      <c r="F28" s="65" t="str">
        <f>+_xlfn.CONCAT(B6,"_",B14,"_",B20,"_",B24,"_",B36,"_",B60,".",B64)</f>
        <v>pl_cc_rcp85_2080_DO_25.tif</v>
      </c>
      <c r="H28" s="65" t="s">
        <v>434</v>
      </c>
    </row>
    <row r="29" spans="1:8" s="56" customFormat="1" x14ac:dyDescent="0.35">
      <c r="A29" s="65" t="s">
        <v>435</v>
      </c>
      <c r="B29" s="65" t="s">
        <v>436</v>
      </c>
      <c r="C29" s="65"/>
      <c r="D29" s="65"/>
      <c r="E29" s="65"/>
    </row>
    <row r="30" spans="1:8" s="56" customFormat="1" x14ac:dyDescent="0.35">
      <c r="A30" s="65" t="s">
        <v>437</v>
      </c>
      <c r="B30" s="65" t="s">
        <v>438</v>
      </c>
      <c r="C30" s="65"/>
      <c r="D30" s="65"/>
      <c r="E30" s="65"/>
      <c r="F30" s="68" t="s">
        <v>439</v>
      </c>
    </row>
    <row r="31" spans="1:8" s="56" customFormat="1" x14ac:dyDescent="0.35">
      <c r="A31" s="65" t="s">
        <v>440</v>
      </c>
      <c r="B31" s="65" t="s">
        <v>441</v>
      </c>
      <c r="C31" s="65"/>
      <c r="D31" s="65"/>
      <c r="E31" s="65"/>
      <c r="F31" s="65" t="str">
        <f>+_xlfn.CONCAT(B7,"_",B13,"_",B36,"_",B60,".",B64)</f>
        <v>ri_h_DO_25.tif</v>
      </c>
      <c r="G31" s="65"/>
      <c r="H31" s="65" t="s">
        <v>434</v>
      </c>
    </row>
    <row r="32" spans="1:8" s="56" customFormat="1" x14ac:dyDescent="0.35">
      <c r="A32" s="65" t="s">
        <v>442</v>
      </c>
      <c r="B32" s="65" t="s">
        <v>443</v>
      </c>
      <c r="C32" s="65"/>
      <c r="D32" s="65"/>
      <c r="E32" s="65"/>
    </row>
    <row r="33" spans="1:8" s="56" customFormat="1" x14ac:dyDescent="0.35">
      <c r="A33" s="65" t="s">
        <v>444</v>
      </c>
      <c r="B33" s="65" t="s">
        <v>445</v>
      </c>
      <c r="C33" s="65"/>
      <c r="D33" s="65"/>
      <c r="E33" s="65"/>
      <c r="F33" s="68" t="s">
        <v>446</v>
      </c>
    </row>
    <row r="34" spans="1:8" s="56" customFormat="1" x14ac:dyDescent="0.35">
      <c r="A34" s="65" t="s">
        <v>447</v>
      </c>
      <c r="B34" s="65" t="s">
        <v>448</v>
      </c>
      <c r="C34" s="65"/>
      <c r="D34" s="65"/>
      <c r="E34" s="65"/>
      <c r="F34" s="65" t="str">
        <f>+_xlfn.CONCAT(B8,"_",B36,"_",B61,".",B64)</f>
        <v>ts_DO_1500.tif</v>
      </c>
      <c r="G34" s="65"/>
      <c r="H34" s="65" t="s">
        <v>434</v>
      </c>
    </row>
    <row r="35" spans="1:8" s="56" customFormat="1" x14ac:dyDescent="0.35">
      <c r="A35" s="65" t="s">
        <v>449</v>
      </c>
      <c r="B35" s="65" t="s">
        <v>450</v>
      </c>
      <c r="C35" s="65"/>
      <c r="D35" s="65"/>
      <c r="E35" s="65"/>
    </row>
    <row r="36" spans="1:8" s="56" customFormat="1" x14ac:dyDescent="0.35">
      <c r="A36" s="65" t="s">
        <v>451</v>
      </c>
      <c r="B36" s="65" t="s">
        <v>452</v>
      </c>
      <c r="C36" s="65"/>
      <c r="D36" s="65"/>
      <c r="E36" s="65"/>
      <c r="F36" s="68" t="s">
        <v>453</v>
      </c>
    </row>
    <row r="37" spans="1:8" s="56" customFormat="1" x14ac:dyDescent="0.35">
      <c r="A37" s="65" t="s">
        <v>454</v>
      </c>
      <c r="B37" s="65" t="s">
        <v>455</v>
      </c>
      <c r="C37" s="65"/>
      <c r="D37" s="65"/>
      <c r="E37" s="65"/>
      <c r="F37" s="65" t="str">
        <f>+_xlfn.CONCAT(B9,"_",B36,"_",B55,"_",B61,".",B64)</f>
        <v>eq_DO_PGA_1500.tif</v>
      </c>
      <c r="G37" s="65"/>
      <c r="H37" s="65" t="s">
        <v>456</v>
      </c>
    </row>
    <row r="38" spans="1:8" s="56" customFormat="1" x14ac:dyDescent="0.35">
      <c r="A38" s="65" t="s">
        <v>457</v>
      </c>
      <c r="B38" s="65" t="s">
        <v>458</v>
      </c>
      <c r="C38" s="65"/>
      <c r="D38" s="65"/>
      <c r="E38" s="65"/>
    </row>
    <row r="39" spans="1:8" s="56" customFormat="1" x14ac:dyDescent="0.35">
      <c r="A39" s="65" t="s">
        <v>459</v>
      </c>
      <c r="B39" s="65" t="s">
        <v>460</v>
      </c>
      <c r="C39" s="65"/>
      <c r="D39" s="65"/>
      <c r="E39" s="65"/>
      <c r="F39" s="68" t="s">
        <v>461</v>
      </c>
    </row>
    <row r="40" spans="1:8" s="56" customFormat="1" x14ac:dyDescent="0.35">
      <c r="A40" s="65" t="s">
        <v>462</v>
      </c>
      <c r="B40" s="65" t="s">
        <v>463</v>
      </c>
      <c r="C40" s="65"/>
      <c r="D40" s="65"/>
      <c r="E40" s="65"/>
      <c r="F40" s="65" t="str">
        <f>+_xlfn.CONCAT(B10,"_",B36,".",B64)</f>
        <v>li_DO.tif</v>
      </c>
      <c r="H40" s="65" t="s">
        <v>464</v>
      </c>
    </row>
    <row r="41" spans="1:8" s="56" customFormat="1" x14ac:dyDescent="0.35">
      <c r="A41" s="65" t="s">
        <v>465</v>
      </c>
      <c r="B41" s="65" t="s">
        <v>466</v>
      </c>
      <c r="C41" s="65"/>
      <c r="D41" s="65"/>
      <c r="E41" s="65"/>
    </row>
    <row r="42" spans="1:8" s="56" customFormat="1" x14ac:dyDescent="0.35">
      <c r="A42" s="65" t="s">
        <v>467</v>
      </c>
      <c r="B42" s="65" t="s">
        <v>468</v>
      </c>
      <c r="C42" s="65"/>
      <c r="D42" s="65"/>
      <c r="E42" s="65"/>
      <c r="F42" s="68" t="s">
        <v>469</v>
      </c>
    </row>
    <row r="43" spans="1:8" s="56" customFormat="1" x14ac:dyDescent="0.35">
      <c r="A43" s="65" t="s">
        <v>470</v>
      </c>
      <c r="B43" s="65" t="s">
        <v>471</v>
      </c>
      <c r="C43" s="65"/>
      <c r="D43" s="65"/>
      <c r="E43" s="65"/>
      <c r="F43" s="65" t="str">
        <f>+_xlfn.CONCAT(B6,"_",B13,"_",B36,"_",B60,".",B64)</f>
        <v>pl_h_DO_25.tif</v>
      </c>
      <c r="H43" s="65" t="s">
        <v>434</v>
      </c>
    </row>
    <row r="44" spans="1:8" s="56" customFormat="1" x14ac:dyDescent="0.35">
      <c r="A44" s="65" t="s">
        <v>472</v>
      </c>
      <c r="B44" s="65" t="s">
        <v>473</v>
      </c>
      <c r="C44" s="65"/>
      <c r="D44" s="65"/>
      <c r="E44" s="65"/>
    </row>
    <row r="45" spans="1:8" s="56" customFormat="1" x14ac:dyDescent="0.35">
      <c r="A45" s="65" t="s">
        <v>474</v>
      </c>
      <c r="B45" s="65" t="s">
        <v>475</v>
      </c>
      <c r="C45" s="65"/>
      <c r="D45" s="65"/>
      <c r="E45" s="65"/>
      <c r="F45" s="68" t="s">
        <v>476</v>
      </c>
    </row>
    <row r="46" spans="1:8" s="56" customFormat="1" x14ac:dyDescent="0.35">
      <c r="A46" s="65" t="s">
        <v>477</v>
      </c>
      <c r="B46" s="65" t="s">
        <v>478</v>
      </c>
      <c r="C46" s="65"/>
      <c r="D46" s="65"/>
      <c r="E46" s="65"/>
      <c r="F46" s="65" t="str">
        <f>+_xlfn.CONCAT(B7,"_",B14,"_",B20,"_",B24,"_",B36,"_",B60,".",B64)</f>
        <v>ri_cc_rcp85_2080_DO_25.tif</v>
      </c>
      <c r="H46" s="65" t="s">
        <v>434</v>
      </c>
    </row>
    <row r="47" spans="1:8" s="56" customFormat="1" x14ac:dyDescent="0.35">
      <c r="A47" s="65" t="s">
        <v>479</v>
      </c>
      <c r="B47" s="65" t="s">
        <v>480</v>
      </c>
      <c r="C47" s="65"/>
      <c r="D47" s="65"/>
      <c r="E47" s="65"/>
    </row>
    <row r="48" spans="1:8" s="56" customFormat="1" x14ac:dyDescent="0.35">
      <c r="A48" s="65" t="s">
        <v>481</v>
      </c>
      <c r="B48" s="65" t="s">
        <v>482</v>
      </c>
      <c r="C48" s="65"/>
      <c r="D48" s="65"/>
      <c r="E48" s="65"/>
    </row>
    <row r="49" spans="1:5" s="56" customFormat="1" x14ac:dyDescent="0.35">
      <c r="A49" s="65" t="s">
        <v>483</v>
      </c>
      <c r="B49" s="65" t="s">
        <v>484</v>
      </c>
      <c r="C49" s="65"/>
      <c r="D49" s="65"/>
      <c r="E49" s="65"/>
    </row>
    <row r="50" spans="1:5" s="56" customFormat="1" x14ac:dyDescent="0.35">
      <c r="A50" s="65" t="s">
        <v>485</v>
      </c>
      <c r="B50" s="65" t="s">
        <v>486</v>
      </c>
      <c r="C50" s="65"/>
      <c r="D50" s="65"/>
      <c r="E50" s="65"/>
    </row>
    <row r="51" spans="1:5" s="56" customFormat="1" x14ac:dyDescent="0.35">
      <c r="A51" s="65" t="s">
        <v>487</v>
      </c>
      <c r="B51" s="65" t="s">
        <v>488</v>
      </c>
      <c r="C51" s="65"/>
      <c r="D51" s="65"/>
      <c r="E51" s="65"/>
    </row>
    <row r="52" spans="1:5" s="56" customFormat="1" x14ac:dyDescent="0.35">
      <c r="A52" s="65" t="s">
        <v>489</v>
      </c>
      <c r="B52" s="65" t="s">
        <v>490</v>
      </c>
      <c r="C52" s="65"/>
      <c r="D52" s="65"/>
      <c r="E52" s="65"/>
    </row>
    <row r="53" spans="1:5" s="56" customFormat="1" x14ac:dyDescent="0.35">
      <c r="A53" s="65"/>
      <c r="B53" s="65"/>
      <c r="C53" s="65"/>
      <c r="D53" s="65"/>
      <c r="E53" s="65"/>
    </row>
    <row r="54" spans="1:5" s="56" customFormat="1" ht="15.5" x14ac:dyDescent="0.35">
      <c r="A54" s="66" t="s">
        <v>491</v>
      </c>
      <c r="B54" s="66" t="s">
        <v>492</v>
      </c>
      <c r="C54" t="s">
        <v>493</v>
      </c>
      <c r="D54" s="65"/>
      <c r="E54" s="65"/>
    </row>
    <row r="55" spans="1:5" s="56" customFormat="1" x14ac:dyDescent="0.35">
      <c r="A55" s="65" t="s">
        <v>494</v>
      </c>
      <c r="B55" s="65" t="s">
        <v>495</v>
      </c>
      <c r="C55" s="65"/>
      <c r="D55" s="65"/>
      <c r="E55" s="65"/>
    </row>
    <row r="56" spans="1:5" s="56" customFormat="1" x14ac:dyDescent="0.35">
      <c r="A56" s="65" t="s">
        <v>496</v>
      </c>
      <c r="B56" s="65" t="s">
        <v>497</v>
      </c>
      <c r="C56" s="65" t="s">
        <v>498</v>
      </c>
      <c r="D56" s="65"/>
      <c r="E56" s="65"/>
    </row>
    <row r="57" spans="1:5" s="56" customFormat="1" x14ac:dyDescent="0.35">
      <c r="A57" s="65"/>
      <c r="B57" s="65" t="s">
        <v>499</v>
      </c>
      <c r="C57" s="65" t="s">
        <v>426</v>
      </c>
      <c r="D57" s="65"/>
      <c r="E57" s="65"/>
    </row>
    <row r="58" spans="1:5" s="56" customFormat="1" x14ac:dyDescent="0.35">
      <c r="A58" s="65"/>
      <c r="B58" s="65"/>
      <c r="C58" s="65"/>
      <c r="D58" s="65"/>
      <c r="E58" s="65"/>
    </row>
    <row r="59" spans="1:5" s="56" customFormat="1" ht="15.5" x14ac:dyDescent="0.35">
      <c r="A59" s="66" t="s">
        <v>500</v>
      </c>
      <c r="B59" s="66" t="s">
        <v>501</v>
      </c>
      <c r="C59" s="65"/>
      <c r="D59" s="65"/>
      <c r="E59" s="65"/>
    </row>
    <row r="60" spans="1:5" s="56" customFormat="1" x14ac:dyDescent="0.35">
      <c r="A60" s="65" t="s">
        <v>502</v>
      </c>
      <c r="B60" s="65">
        <v>25</v>
      </c>
      <c r="C60" s="65" t="s">
        <v>426</v>
      </c>
      <c r="D60" s="65"/>
      <c r="E60" s="65"/>
    </row>
    <row r="61" spans="1:5" s="56" customFormat="1" x14ac:dyDescent="0.35">
      <c r="A61" s="65"/>
      <c r="B61" s="65">
        <v>1500</v>
      </c>
      <c r="C61" s="65" t="s">
        <v>426</v>
      </c>
      <c r="D61" s="65"/>
      <c r="E61" s="65"/>
    </row>
    <row r="62" spans="1:5" s="56" customFormat="1" x14ac:dyDescent="0.35">
      <c r="A62" s="65"/>
      <c r="B62" s="65"/>
      <c r="C62" s="65"/>
      <c r="D62" s="65"/>
      <c r="E62" s="65"/>
    </row>
    <row r="63" spans="1:5" s="56" customFormat="1" ht="15.5" x14ac:dyDescent="0.35">
      <c r="A63" s="66" t="s">
        <v>503</v>
      </c>
      <c r="B63" s="66" t="s">
        <v>504</v>
      </c>
      <c r="C63" s="65"/>
      <c r="D63" s="65"/>
      <c r="E63" s="65"/>
    </row>
    <row r="64" spans="1:5" s="56" customFormat="1" x14ac:dyDescent="0.35">
      <c r="A64" s="65" t="s">
        <v>505</v>
      </c>
      <c r="B64" s="65" t="s">
        <v>506</v>
      </c>
      <c r="C64" s="65"/>
      <c r="D64" s="65"/>
      <c r="E64" s="65"/>
    </row>
    <row r="65" spans="1:5" s="56" customFormat="1" x14ac:dyDescent="0.35">
      <c r="A65" s="65"/>
      <c r="B65" s="65"/>
      <c r="C65" s="65"/>
      <c r="D65" s="65"/>
      <c r="E65" s="65"/>
    </row>
    <row r="66" spans="1:5" s="56" customFormat="1" x14ac:dyDescent="0.35">
      <c r="A66" s="65"/>
      <c r="B66" s="65"/>
      <c r="C66" s="65"/>
      <c r="D66" s="65"/>
      <c r="E66" s="65"/>
    </row>
    <row r="67" spans="1:5" s="56" customFormat="1" x14ac:dyDescent="0.35">
      <c r="A67" s="65"/>
      <c r="B67" s="65"/>
      <c r="C67" s="65"/>
      <c r="D67" s="65"/>
      <c r="E67" s="65"/>
    </row>
    <row r="68" spans="1:5" s="56" customFormat="1" x14ac:dyDescent="0.35">
      <c r="A68" s="65"/>
      <c r="B68" s="65"/>
      <c r="C68" s="65"/>
      <c r="D68" s="65"/>
      <c r="E68" s="65"/>
    </row>
    <row r="69" spans="1:5" s="56" customFormat="1" x14ac:dyDescent="0.35">
      <c r="A69" s="65"/>
      <c r="B69" s="65"/>
      <c r="C69" s="65"/>
      <c r="D69" s="65"/>
      <c r="E69" s="65"/>
    </row>
    <row r="70" spans="1:5" s="56" customFormat="1" x14ac:dyDescent="0.35">
      <c r="A70" s="65"/>
      <c r="B70" s="65"/>
      <c r="C70" s="65"/>
      <c r="D70" s="65"/>
      <c r="E70" s="65"/>
    </row>
    <row r="71" spans="1:5" s="56" customFormat="1" x14ac:dyDescent="0.35">
      <c r="A71" s="65"/>
      <c r="B71" s="65"/>
      <c r="C71" s="65"/>
      <c r="D71" s="65"/>
      <c r="E71" s="65"/>
    </row>
    <row r="72" spans="1:5" s="56" customFormat="1" x14ac:dyDescent="0.35">
      <c r="A72" s="65"/>
      <c r="B72" s="65"/>
      <c r="C72" s="65"/>
      <c r="D72" s="65"/>
      <c r="E72" s="65"/>
    </row>
    <row r="73" spans="1:5" s="56" customFormat="1" x14ac:dyDescent="0.35">
      <c r="A73" s="65"/>
      <c r="B73" s="65"/>
      <c r="C73" s="65"/>
      <c r="D73" s="65"/>
      <c r="E73" s="65"/>
    </row>
    <row r="74" spans="1:5" s="56" customFormat="1" x14ac:dyDescent="0.35">
      <c r="A74" s="65"/>
      <c r="B74" s="65"/>
      <c r="C74" s="65"/>
      <c r="D74" s="65"/>
      <c r="E74" s="65"/>
    </row>
    <row r="75" spans="1:5" s="56" customFormat="1" x14ac:dyDescent="0.35">
      <c r="A75" s="65"/>
      <c r="B75" s="65"/>
      <c r="C75" s="65"/>
      <c r="D75" s="65"/>
      <c r="E75" s="65"/>
    </row>
    <row r="76" spans="1:5" s="56" customFormat="1" x14ac:dyDescent="0.35">
      <c r="A76" s="65"/>
      <c r="B76" s="65"/>
      <c r="C76" s="65"/>
      <c r="D76" s="65"/>
      <c r="E76" s="65"/>
    </row>
    <row r="77" spans="1:5" s="56" customFormat="1" x14ac:dyDescent="0.35">
      <c r="A77" s="65"/>
      <c r="B77" s="65"/>
      <c r="C77" s="65"/>
      <c r="D77" s="65"/>
      <c r="E77" s="65"/>
    </row>
    <row r="78" spans="1:5" s="56" customFormat="1" x14ac:dyDescent="0.35">
      <c r="A78" s="65"/>
      <c r="B78" s="65"/>
      <c r="C78" s="65"/>
      <c r="D78" s="65"/>
      <c r="E78" s="65"/>
    </row>
    <row r="79" spans="1:5" s="56" customFormat="1" x14ac:dyDescent="0.35">
      <c r="A79" s="65"/>
      <c r="B79" s="65"/>
      <c r="C79" s="65"/>
      <c r="D79" s="65"/>
      <c r="E79" s="65"/>
    </row>
    <row r="80" spans="1:5" s="56" customFormat="1" x14ac:dyDescent="0.35">
      <c r="A80" s="65"/>
      <c r="B80" s="65"/>
      <c r="C80" s="65"/>
      <c r="D80" s="65"/>
      <c r="E80" s="65"/>
    </row>
    <row r="81" spans="1:5" s="56" customFormat="1" x14ac:dyDescent="0.35">
      <c r="A81" s="65"/>
      <c r="B81" s="65"/>
      <c r="C81" s="65"/>
      <c r="D81" s="65"/>
      <c r="E81" s="65"/>
    </row>
    <row r="82" spans="1:5" s="56" customFormat="1" x14ac:dyDescent="0.35">
      <c r="A82" s="65"/>
      <c r="B82" s="65"/>
      <c r="C82" s="65"/>
      <c r="D82" s="65"/>
      <c r="E82" s="65"/>
    </row>
    <row r="83" spans="1:5" s="56" customFormat="1" x14ac:dyDescent="0.35">
      <c r="A83" s="65"/>
      <c r="B83" s="65"/>
      <c r="C83" s="65"/>
      <c r="D83" s="65"/>
      <c r="E83" s="65"/>
    </row>
    <row r="84" spans="1:5" s="56" customFormat="1" x14ac:dyDescent="0.35">
      <c r="A84" s="65"/>
      <c r="B84" s="65"/>
      <c r="C84" s="65"/>
      <c r="D84" s="65"/>
      <c r="E84" s="65"/>
    </row>
    <row r="85" spans="1:5" s="56" customFormat="1" x14ac:dyDescent="0.35">
      <c r="A85" s="65"/>
      <c r="B85" s="65"/>
      <c r="C85" s="65"/>
      <c r="D85" s="65"/>
      <c r="E85" s="65"/>
    </row>
    <row r="86" spans="1:5" s="56" customFormat="1" x14ac:dyDescent="0.35">
      <c r="A86" s="65"/>
      <c r="B86" s="65"/>
      <c r="C86" s="65"/>
      <c r="D86" s="65"/>
      <c r="E86" s="65"/>
    </row>
    <row r="87" spans="1:5" s="56" customFormat="1" x14ac:dyDescent="0.35">
      <c r="A87" s="65"/>
      <c r="B87" s="65"/>
      <c r="C87" s="65"/>
      <c r="D87" s="65"/>
      <c r="E87" s="65"/>
    </row>
    <row r="88" spans="1:5" s="56" customFormat="1" x14ac:dyDescent="0.35">
      <c r="A88" s="65"/>
      <c r="B88" s="65"/>
      <c r="C88" s="65"/>
      <c r="D88" s="65"/>
      <c r="E88" s="65"/>
    </row>
    <row r="89" spans="1:5" s="56" customFormat="1" x14ac:dyDescent="0.35">
      <c r="A89" s="65"/>
      <c r="B89" s="65"/>
      <c r="C89" s="65"/>
      <c r="D89" s="65"/>
      <c r="E89" s="65"/>
    </row>
    <row r="90" spans="1:5" s="56" customFormat="1" x14ac:dyDescent="0.35">
      <c r="A90" s="65"/>
      <c r="B90" s="65"/>
      <c r="C90" s="65"/>
      <c r="D90" s="65"/>
      <c r="E90" s="65"/>
    </row>
    <row r="91" spans="1:5" s="56" customFormat="1" x14ac:dyDescent="0.35">
      <c r="A91" s="65"/>
      <c r="B91" s="65"/>
      <c r="C91" s="65"/>
      <c r="D91" s="65"/>
      <c r="E91" s="65"/>
    </row>
    <row r="92" spans="1:5" s="56" customFormat="1" x14ac:dyDescent="0.35">
      <c r="A92" s="65"/>
      <c r="B92" s="65"/>
      <c r="C92" s="65"/>
      <c r="D92" s="65"/>
      <c r="E92" s="65"/>
    </row>
    <row r="93" spans="1:5" s="56" customFormat="1" x14ac:dyDescent="0.35">
      <c r="A93" s="65"/>
      <c r="B93" s="65"/>
      <c r="C93" s="65"/>
      <c r="D93" s="65"/>
      <c r="E93" s="65"/>
    </row>
    <row r="94" spans="1:5" s="56" customFormat="1" x14ac:dyDescent="0.35">
      <c r="A94" s="65"/>
      <c r="B94" s="65"/>
      <c r="C94" s="65"/>
      <c r="D94" s="65"/>
      <c r="E94" s="65"/>
    </row>
    <row r="95" spans="1:5" s="56" customFormat="1" x14ac:dyDescent="0.35">
      <c r="A95" s="65"/>
      <c r="B95" s="65"/>
      <c r="C95" s="65"/>
      <c r="D95" s="65"/>
      <c r="E95" s="65"/>
    </row>
    <row r="96" spans="1:5" s="56" customFormat="1" x14ac:dyDescent="0.35">
      <c r="A96" s="65"/>
      <c r="B96" s="65"/>
      <c r="C96" s="65"/>
      <c r="D96" s="65"/>
      <c r="E96" s="65"/>
    </row>
    <row r="97" spans="1:5" s="56" customFormat="1" x14ac:dyDescent="0.35">
      <c r="A97" s="65"/>
      <c r="B97" s="65"/>
      <c r="C97" s="65"/>
      <c r="D97" s="65"/>
      <c r="E97" s="65"/>
    </row>
    <row r="98" spans="1:5" s="56" customFormat="1" x14ac:dyDescent="0.35">
      <c r="A98" s="65"/>
      <c r="B98" s="65"/>
      <c r="C98" s="65"/>
      <c r="D98" s="65"/>
      <c r="E98" s="65"/>
    </row>
    <row r="99" spans="1:5" s="56" customFormat="1" x14ac:dyDescent="0.35">
      <c r="A99" s="65"/>
      <c r="B99" s="65"/>
      <c r="C99" s="65"/>
      <c r="D99" s="65"/>
      <c r="E99" s="65"/>
    </row>
    <row r="100" spans="1:5" s="56" customFormat="1" x14ac:dyDescent="0.35">
      <c r="A100" s="65"/>
      <c r="B100" s="65"/>
      <c r="C100" s="65"/>
      <c r="D100" s="65"/>
      <c r="E100" s="65"/>
    </row>
    <row r="101" spans="1:5" s="56" customFormat="1" x14ac:dyDescent="0.35">
      <c r="A101" s="65"/>
      <c r="B101" s="65"/>
      <c r="C101" s="65"/>
      <c r="D101" s="65"/>
      <c r="E101" s="65"/>
    </row>
    <row r="102" spans="1:5" s="56" customFormat="1" x14ac:dyDescent="0.35">
      <c r="A102" s="65"/>
      <c r="B102" s="65"/>
      <c r="C102" s="65"/>
      <c r="D102" s="65"/>
      <c r="E102" s="65"/>
    </row>
    <row r="103" spans="1:5" s="56" customFormat="1" x14ac:dyDescent="0.35">
      <c r="A103" s="65"/>
      <c r="B103" s="65"/>
      <c r="C103" s="65"/>
      <c r="D103" s="65"/>
      <c r="E103" s="65"/>
    </row>
    <row r="104" spans="1:5" s="56" customFormat="1" x14ac:dyDescent="0.35">
      <c r="A104" s="65"/>
      <c r="B104" s="65"/>
      <c r="C104" s="65"/>
      <c r="D104" s="65"/>
      <c r="E104" s="65"/>
    </row>
    <row r="105" spans="1:5" s="56" customFormat="1" x14ac:dyDescent="0.35">
      <c r="A105" s="65"/>
      <c r="B105" s="65"/>
      <c r="C105" s="65"/>
      <c r="D105" s="65"/>
      <c r="E105" s="65"/>
    </row>
    <row r="106" spans="1:5" s="56" customFormat="1" x14ac:dyDescent="0.35">
      <c r="A106" s="65"/>
      <c r="B106" s="65"/>
      <c r="C106" s="65"/>
      <c r="D106" s="65"/>
      <c r="E106" s="65"/>
    </row>
    <row r="107" spans="1:5" s="56" customFormat="1" x14ac:dyDescent="0.35">
      <c r="A107" s="65"/>
      <c r="B107" s="65"/>
      <c r="C107" s="65"/>
      <c r="D107" s="65"/>
      <c r="E107" s="65"/>
    </row>
    <row r="108" spans="1:5" s="56" customFormat="1" x14ac:dyDescent="0.35">
      <c r="A108" s="65"/>
      <c r="B108" s="65"/>
      <c r="C108" s="65"/>
      <c r="D108" s="65"/>
      <c r="E108" s="65"/>
    </row>
    <row r="109" spans="1:5" s="56" customFormat="1" x14ac:dyDescent="0.35">
      <c r="A109" s="65"/>
      <c r="B109" s="65"/>
      <c r="C109" s="65"/>
      <c r="D109" s="65"/>
      <c r="E109" s="65"/>
    </row>
    <row r="110" spans="1:5" s="56" customFormat="1" x14ac:dyDescent="0.35">
      <c r="A110" s="65"/>
      <c r="B110" s="65"/>
      <c r="C110" s="65"/>
      <c r="D110" s="65"/>
      <c r="E110" s="65"/>
    </row>
    <row r="111" spans="1:5" s="56" customFormat="1" x14ac:dyDescent="0.35">
      <c r="A111" s="65"/>
      <c r="B111" s="65"/>
      <c r="C111" s="65"/>
      <c r="D111" s="65"/>
      <c r="E111" s="65"/>
    </row>
    <row r="112" spans="1:5" s="56" customFormat="1" x14ac:dyDescent="0.35">
      <c r="A112" s="65"/>
      <c r="B112" s="65"/>
      <c r="C112" s="65"/>
      <c r="D112" s="65"/>
      <c r="E112" s="65"/>
    </row>
    <row r="113" spans="1:5" s="56" customFormat="1" x14ac:dyDescent="0.35">
      <c r="A113" s="65"/>
      <c r="B113" s="65"/>
      <c r="C113" s="65"/>
      <c r="D113" s="65"/>
      <c r="E113" s="65"/>
    </row>
    <row r="114" spans="1:5" s="56" customFormat="1" x14ac:dyDescent="0.35">
      <c r="A114" s="65"/>
      <c r="B114" s="65"/>
      <c r="C114" s="65"/>
      <c r="D114" s="65"/>
      <c r="E114" s="65"/>
    </row>
    <row r="115" spans="1:5" s="56" customFormat="1" x14ac:dyDescent="0.35">
      <c r="A115" s="65"/>
      <c r="B115" s="65"/>
      <c r="C115" s="65"/>
      <c r="D115" s="65"/>
      <c r="E115" s="65"/>
    </row>
    <row r="116" spans="1:5" s="56" customFormat="1" x14ac:dyDescent="0.35">
      <c r="A116" s="65"/>
      <c r="B116" s="65"/>
      <c r="C116" s="65"/>
      <c r="D116" s="65"/>
      <c r="E116" s="65"/>
    </row>
    <row r="117" spans="1:5" s="56" customFormat="1" x14ac:dyDescent="0.35">
      <c r="A117" s="65"/>
      <c r="B117" s="65"/>
      <c r="C117" s="65"/>
      <c r="D117" s="65"/>
      <c r="E117" s="65"/>
    </row>
    <row r="118" spans="1:5" s="56" customFormat="1" x14ac:dyDescent="0.35">
      <c r="A118" s="65"/>
      <c r="B118" s="65"/>
      <c r="C118" s="65"/>
      <c r="D118" s="65"/>
      <c r="E118" s="65"/>
    </row>
    <row r="119" spans="1:5" s="56" customFormat="1" x14ac:dyDescent="0.35">
      <c r="A119" s="65"/>
      <c r="B119" s="65"/>
      <c r="C119" s="65"/>
      <c r="D119" s="65"/>
      <c r="E119" s="65"/>
    </row>
    <row r="120" spans="1:5" s="56" customFormat="1" x14ac:dyDescent="0.35">
      <c r="A120" s="65"/>
      <c r="B120" s="65"/>
      <c r="C120" s="65"/>
      <c r="D120" s="65"/>
      <c r="E120" s="65"/>
    </row>
    <row r="121" spans="1:5" s="56" customFormat="1" x14ac:dyDescent="0.35">
      <c r="A121" s="65"/>
      <c r="B121" s="65"/>
      <c r="C121" s="65"/>
      <c r="D121" s="65"/>
      <c r="E121" s="65"/>
    </row>
    <row r="122" spans="1:5" s="56" customFormat="1" x14ac:dyDescent="0.35">
      <c r="A122" s="65"/>
      <c r="B122" s="65"/>
      <c r="C122" s="65"/>
      <c r="D122" s="65"/>
      <c r="E122" s="65"/>
    </row>
    <row r="123" spans="1:5" s="56" customFormat="1" x14ac:dyDescent="0.35">
      <c r="A123" s="65"/>
      <c r="B123" s="65"/>
      <c r="C123" s="65"/>
      <c r="D123" s="65"/>
      <c r="E123" s="6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1CCC-C5F1-4FEA-8397-D9961256BC6A}">
  <dimension ref="B2:E26"/>
  <sheetViews>
    <sheetView zoomScale="85" zoomScaleNormal="85" workbookViewId="0">
      <selection activeCell="E12" sqref="E12"/>
    </sheetView>
  </sheetViews>
  <sheetFormatPr defaultColWidth="10.7265625" defaultRowHeight="14.5" x14ac:dyDescent="0.35"/>
  <cols>
    <col min="1" max="1" width="5.7265625" style="14" customWidth="1"/>
    <col min="2" max="2" width="27" style="16" customWidth="1"/>
    <col min="3" max="3" width="68.54296875" style="14" customWidth="1"/>
    <col min="4" max="4" width="14.7265625" style="15" bestFit="1" customWidth="1"/>
    <col min="5" max="5" width="76.453125" style="14" customWidth="1"/>
    <col min="6" max="6" width="62.7265625" style="14" customWidth="1"/>
    <col min="7" max="16384" width="10.7265625" style="14"/>
  </cols>
  <sheetData>
    <row r="2" spans="2:5" x14ac:dyDescent="0.35">
      <c r="B2" s="44" t="s">
        <v>126</v>
      </c>
    </row>
    <row r="4" spans="2:5" ht="23.5" x14ac:dyDescent="0.35">
      <c r="B4" s="32" t="s">
        <v>515</v>
      </c>
      <c r="C4" s="31" t="s">
        <v>363</v>
      </c>
    </row>
    <row r="5" spans="2:5" ht="31" x14ac:dyDescent="0.35">
      <c r="B5" s="22" t="s">
        <v>39</v>
      </c>
      <c r="C5" s="23" t="s">
        <v>364</v>
      </c>
      <c r="D5" s="24"/>
      <c r="E5" s="25"/>
    </row>
    <row r="6" spans="2:5" ht="15.5" x14ac:dyDescent="0.35">
      <c r="B6" s="22" t="s">
        <v>40</v>
      </c>
      <c r="C6" s="26" t="s">
        <v>514</v>
      </c>
      <c r="D6" s="24"/>
      <c r="E6" s="33"/>
    </row>
    <row r="7" spans="2:5" ht="15.5" x14ac:dyDescent="0.35">
      <c r="B7" s="27"/>
      <c r="C7" s="28"/>
      <c r="D7" s="24"/>
      <c r="E7" s="25"/>
    </row>
    <row r="8" spans="2:5" ht="15.5" x14ac:dyDescent="0.35">
      <c r="B8" s="29" t="s">
        <v>63</v>
      </c>
      <c r="C8" s="29" t="s">
        <v>64</v>
      </c>
      <c r="D8" s="30" t="s">
        <v>65</v>
      </c>
      <c r="E8" s="29" t="s">
        <v>320</v>
      </c>
    </row>
    <row r="9" spans="2:5" x14ac:dyDescent="0.35">
      <c r="B9" s="57" t="s">
        <v>358</v>
      </c>
      <c r="C9" s="35" t="s">
        <v>511</v>
      </c>
      <c r="D9" s="58" t="s">
        <v>67</v>
      </c>
      <c r="E9" s="36"/>
    </row>
    <row r="10" spans="2:5" x14ac:dyDescent="0.35">
      <c r="B10" s="57" t="s">
        <v>512</v>
      </c>
      <c r="C10" s="35" t="s">
        <v>513</v>
      </c>
      <c r="D10" s="58" t="s">
        <v>67</v>
      </c>
      <c r="E10" s="36"/>
    </row>
    <row r="11" spans="2:5" s="47" customFormat="1" ht="101.5" x14ac:dyDescent="0.35">
      <c r="B11" s="59" t="s">
        <v>228</v>
      </c>
      <c r="C11" s="35" t="s">
        <v>327</v>
      </c>
      <c r="D11" s="58" t="s">
        <v>67</v>
      </c>
      <c r="E11" s="36" t="s">
        <v>263</v>
      </c>
    </row>
    <row r="12" spans="2:5" ht="101.5" x14ac:dyDescent="0.35">
      <c r="B12" s="57" t="s">
        <v>366</v>
      </c>
      <c r="C12" s="35" t="s">
        <v>328</v>
      </c>
      <c r="D12" s="58" t="s">
        <v>67</v>
      </c>
      <c r="E12" s="36" t="s">
        <v>265</v>
      </c>
    </row>
    <row r="13" spans="2:5" x14ac:dyDescent="0.35">
      <c r="B13" s="57" t="s">
        <v>519</v>
      </c>
      <c r="C13" s="35" t="s">
        <v>521</v>
      </c>
      <c r="D13" s="58" t="s">
        <v>520</v>
      </c>
      <c r="E13" s="36">
        <v>2050</v>
      </c>
    </row>
    <row r="14" spans="2:5" x14ac:dyDescent="0.35">
      <c r="B14" s="57" t="s">
        <v>522</v>
      </c>
      <c r="C14" s="35" t="s">
        <v>524</v>
      </c>
      <c r="D14" s="58" t="s">
        <v>523</v>
      </c>
      <c r="E14" s="36">
        <v>4.2</v>
      </c>
    </row>
    <row r="15" spans="2:5" x14ac:dyDescent="0.35">
      <c r="B15" s="57" t="s">
        <v>525</v>
      </c>
      <c r="C15" s="35" t="s">
        <v>526</v>
      </c>
      <c r="D15" s="58" t="s">
        <v>523</v>
      </c>
      <c r="E15" s="36">
        <v>16</v>
      </c>
    </row>
    <row r="16" spans="2:5" x14ac:dyDescent="0.35">
      <c r="B16" s="57" t="s">
        <v>527</v>
      </c>
      <c r="C16" s="35" t="s">
        <v>528</v>
      </c>
      <c r="D16" s="58" t="s">
        <v>523</v>
      </c>
      <c r="E16" s="36">
        <v>41.5</v>
      </c>
    </row>
    <row r="17" spans="2:5" x14ac:dyDescent="0.35">
      <c r="B17" s="57" t="s">
        <v>529</v>
      </c>
      <c r="C17" s="35" t="s">
        <v>530</v>
      </c>
      <c r="D17" s="58" t="s">
        <v>523</v>
      </c>
      <c r="E17" s="36">
        <v>70</v>
      </c>
    </row>
    <row r="18" spans="2:5" x14ac:dyDescent="0.35">
      <c r="B18" s="57" t="s">
        <v>531</v>
      </c>
      <c r="C18" s="35" t="s">
        <v>532</v>
      </c>
      <c r="D18" s="58" t="s">
        <v>523</v>
      </c>
      <c r="E18" s="36">
        <v>180</v>
      </c>
    </row>
    <row r="19" spans="2:5" x14ac:dyDescent="0.35">
      <c r="B19" s="57" t="s">
        <v>533</v>
      </c>
      <c r="C19" s="35" t="s">
        <v>534</v>
      </c>
      <c r="D19" s="58" t="s">
        <v>523</v>
      </c>
      <c r="E19" s="36">
        <v>320</v>
      </c>
    </row>
    <row r="20" spans="2:5" x14ac:dyDescent="0.35">
      <c r="B20" s="57" t="s">
        <v>517</v>
      </c>
      <c r="C20" s="35" t="s">
        <v>535</v>
      </c>
      <c r="D20" s="58" t="s">
        <v>523</v>
      </c>
      <c r="E20" s="36">
        <v>4.8</v>
      </c>
    </row>
    <row r="21" spans="2:5" x14ac:dyDescent="0.35">
      <c r="B21" s="57" t="s">
        <v>536</v>
      </c>
      <c r="C21" s="35" t="s">
        <v>537</v>
      </c>
      <c r="D21" s="58" t="s">
        <v>523</v>
      </c>
      <c r="E21" s="36">
        <v>18</v>
      </c>
    </row>
    <row r="22" spans="2:5" x14ac:dyDescent="0.35">
      <c r="B22" s="57" t="s">
        <v>538</v>
      </c>
      <c r="C22" s="35" t="s">
        <v>539</v>
      </c>
      <c r="D22" s="58" t="s">
        <v>523</v>
      </c>
      <c r="E22" s="36">
        <v>46</v>
      </c>
    </row>
    <row r="23" spans="2:5" x14ac:dyDescent="0.35">
      <c r="B23" s="57" t="s">
        <v>540</v>
      </c>
      <c r="C23" s="35" t="s">
        <v>541</v>
      </c>
      <c r="D23" s="58" t="s">
        <v>523</v>
      </c>
      <c r="E23" s="36">
        <v>80</v>
      </c>
    </row>
    <row r="24" spans="2:5" x14ac:dyDescent="0.35">
      <c r="B24" s="57" t="s">
        <v>542</v>
      </c>
      <c r="C24" s="35" t="s">
        <v>543</v>
      </c>
      <c r="D24" s="58" t="s">
        <v>523</v>
      </c>
      <c r="E24" s="36">
        <v>190</v>
      </c>
    </row>
    <row r="25" spans="2:5" x14ac:dyDescent="0.35">
      <c r="B25" s="57" t="s">
        <v>518</v>
      </c>
      <c r="C25" s="35" t="s">
        <v>544</v>
      </c>
      <c r="D25" s="58" t="s">
        <v>523</v>
      </c>
      <c r="E25" s="36">
        <v>360</v>
      </c>
    </row>
    <row r="26" spans="2:5" x14ac:dyDescent="0.35">
      <c r="B26" s="57" t="s">
        <v>545</v>
      </c>
      <c r="C26" s="35" t="s">
        <v>546</v>
      </c>
      <c r="D26" s="58" t="s">
        <v>545</v>
      </c>
      <c r="E26" s="36" t="s">
        <v>545</v>
      </c>
    </row>
  </sheetData>
  <hyperlinks>
    <hyperlink ref="B2" location="Respositorio_Capas!A1" display="INICIO" xr:uid="{A0B06A81-801D-4091-B8A1-F86F19BFC19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0B01E641301B4997EBC64A6BA3B0C2" ma:contentTypeVersion="17" ma:contentTypeDescription="Create a new document." ma:contentTypeScope="" ma:versionID="abc3feb26b2e745b3d406c0b84b971fc">
  <xsd:schema xmlns:xsd="http://www.w3.org/2001/XMLSchema" xmlns:xs="http://www.w3.org/2001/XMLSchema" xmlns:p="http://schemas.microsoft.com/office/2006/metadata/properties" xmlns:ns2="c9589ab7-83df-45f7-8696-d6f2ab920eb0" xmlns:ns3="4bf3e719-0d08-4bb4-ba40-ef25d82b4799" targetNamespace="http://schemas.microsoft.com/office/2006/metadata/properties" ma:root="true" ma:fieldsID="347c57d0949d0856afcf66dd1ae9e62b" ns2:_="" ns3:_="">
    <xsd:import namespace="c9589ab7-83df-45f7-8696-d6f2ab920eb0"/>
    <xsd:import namespace="4bf3e719-0d08-4bb4-ba40-ef25d82b47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589ab7-83df-45f7-8696-d6f2ab920e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31e859b-1e4c-4ebe-a9b8-a2e56aeabd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bf3e719-0d08-4bb4-ba40-ef25d82b479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825249b-efb7-4ace-b1a8-ccd6764031f8}" ma:internalName="TaxCatchAll" ma:showField="CatchAllData" ma:web="4bf3e719-0d08-4bb4-ba40-ef25d82b47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bf3e719-0d08-4bb4-ba40-ef25d82b4799" xsi:nil="true"/>
    <lcf76f155ced4ddcb4097134ff3c332f xmlns="c9589ab7-83df-45f7-8696-d6f2ab920e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0CA083-F436-463D-BD36-43BDB5CDEB9A}">
  <ds:schemaRefs>
    <ds:schemaRef ds:uri="http://schemas.microsoft.com/sharepoint/v3/contenttype/forms"/>
  </ds:schemaRefs>
</ds:datastoreItem>
</file>

<file path=customXml/itemProps2.xml><?xml version="1.0" encoding="utf-8"?>
<ds:datastoreItem xmlns:ds="http://schemas.openxmlformats.org/officeDocument/2006/customXml" ds:itemID="{46DAB0D4-34CB-466B-9783-7A13851A9C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589ab7-83df-45f7-8696-d6f2ab920eb0"/>
    <ds:schemaRef ds:uri="4bf3e719-0d08-4bb4-ba40-ef25d82b47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274AC6-E5A0-472F-B45F-196C48A9F889}">
  <ds:schemaRefs>
    <ds:schemaRef ds:uri="http://schemas.microsoft.com/office/2006/metadata/properties"/>
    <ds:schemaRef ds:uri="http://schemas.microsoft.com/office/infopath/2007/PartnerControls"/>
    <ds:schemaRef ds:uri="4bf3e719-0d08-4bb4-ba40-ef25d82b4799"/>
    <ds:schemaRef ds:uri="c9589ab7-83df-45f7-8696-d6f2ab920e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Capas_Resumen</vt:lpstr>
      <vt:lpstr>Revisión_Capas_INEGI</vt:lpstr>
      <vt:lpstr>Puentes</vt:lpstr>
      <vt:lpstr>Drenaje</vt:lpstr>
      <vt:lpstr>Nombre_Corredores</vt:lpstr>
      <vt:lpstr>Estado_Calzada</vt:lpstr>
      <vt:lpstr>Fallas_Pavimento</vt:lpstr>
      <vt:lpstr>Nivel_Servicio</vt:lpstr>
      <vt:lpstr>TPDA</vt:lpstr>
      <vt:lpstr>Puertos</vt:lpstr>
      <vt:lpstr>Aeropuertos</vt:lpstr>
      <vt:lpstr>Pasos_Fronterizos</vt:lpstr>
      <vt:lpstr>Red_Carretera</vt:lpstr>
      <vt:lpstr>Nucleos_Urbanos</vt:lpstr>
      <vt:lpstr>Nodos_Exportacion</vt:lpstr>
      <vt:lpstr>Cadenas_Logisticas</vt:lpstr>
      <vt:lpstr>Tiempo_rehab</vt:lpstr>
      <vt:lpstr>Funciones_Dano</vt:lpstr>
      <vt:lpstr>GDP_Capita</vt:lpstr>
      <vt:lpstr>Op_Cost</vt:lpstr>
      <vt:lpstr>Hazard</vt:lpstr>
      <vt:lpstr>Zona_Clima_CC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Ashcroft</dc:creator>
  <cp:keywords/>
  <dc:description/>
  <cp:lastModifiedBy>Andrés Abarca Jiménez</cp:lastModifiedBy>
  <cp:revision/>
  <dcterms:created xsi:type="dcterms:W3CDTF">2023-01-23T17:13:39Z</dcterms:created>
  <dcterms:modified xsi:type="dcterms:W3CDTF">2026-05-21T23:56:14Z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0x010100640B01E641301B4997EBC64A6BA3B0C2</vt:lpwstr>
  </property>
  <property fmtid="{D5CDD505-2E9C-101B-9397-08002B2CF9AE}" pid="3" name="MediaServiceImageTags">
    <vt:lpwstr/>
  </property>
</Properties>
</file>